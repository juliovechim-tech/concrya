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MODELO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__IntlFixup" hidden="1">TRUE</definedName>
    <definedName name="aw">'[1]Areia Nat'!$L$6</definedName>
    <definedName name="baixo">[2]aux!$B$7</definedName>
    <definedName name="_xlnm.Database">#REF!</definedName>
    <definedName name="fck">[2]aux!$B$1</definedName>
    <definedName name="Filter_Currency_ExchangeRate">[3]Dashboard!$E$19</definedName>
    <definedName name="Filter_Person">[3]Dashboard!$D$23</definedName>
    <definedName name="Filter_Tag">[3]Dashboard!$D$25</definedName>
    <definedName name="fr">[2]aux!$B$2</definedName>
    <definedName name="ideal">[2]aux!$B$9</definedName>
    <definedName name="KR">[4]PARÂMETROS!$M$11</definedName>
    <definedName name="KRA">'[4]MATRIZ - A'!$L$10</definedName>
    <definedName name="Planner_Person">[3]Planner!$B$5:$B$115</definedName>
    <definedName name="Planner_Tag">[3]Planner!$D$5:$D$115</definedName>
    <definedName name="Planner_Type">[3]Planner!$E$5:$E$115</definedName>
    <definedName name="regular">[2]aux!$B$8</definedName>
    <definedName name="SD">[4]PARÂMETROS!$M$10</definedName>
    <definedName name="SDA">'[4]MATRIZ - A'!$L$9</definedName>
    <definedName name="sdr">[2]aux!$B$3</definedName>
    <definedName name="_xlnm.Database" localSheetId="0">#REF!</definedName>
    <definedName name="_xlnm.Print_Area" localSheetId="0">'MODELO'!$A$1:$K$71</definedName>
  </definedNames>
  <calcPr calcId="191028" fullCalcOnLoad="1"/>
</workbook>
</file>

<file path=xl/styles.xml><?xml version="1.0" encoding="utf-8"?>
<styleSheet xmlns="http://schemas.openxmlformats.org/spreadsheetml/2006/main">
  <numFmts count="26">
    <numFmt numFmtId="164" formatCode="0.000"/>
    <numFmt numFmtId="165" formatCode="&quot;R$&quot;\ #,##0.00&quot;/ton&quot;"/>
    <numFmt numFmtId="166" formatCode="&quot;R$&quot;\ #,##0.00&quot;/m³&quot;"/>
    <numFmt numFmtId="167" formatCode="&quot;R$&quot;\ #,##0.00&quot;/kg&quot;"/>
    <numFmt numFmtId="168" formatCode="0.0"/>
    <numFmt numFmtId="169" formatCode="0.00\ &quot;l/m³&quot;"/>
    <numFmt numFmtId="170" formatCode="0.0%"/>
    <numFmt numFmtId="171" formatCode="0\ &quot;kg/m³&quot;"/>
    <numFmt numFmtId="172" formatCode="0.0000"/>
    <numFmt numFmtId="173" formatCode="0.00&quot; kg/m³&quot;"/>
    <numFmt numFmtId="174" formatCode="0.00&quot; l/m³&quot;"/>
    <numFmt numFmtId="175" formatCode="0.00\ &quot;kg/m³&quot;"/>
    <numFmt numFmtId="176" formatCode="0.000%"/>
    <numFmt numFmtId="177" formatCode="0.00\ &quot;l/m3&quot;"/>
    <numFmt numFmtId="178" formatCode="0.00&quot; kg&quot;"/>
    <numFmt numFmtId="179" formatCode="0\ &quot;g&quot;"/>
    <numFmt numFmtId="180" formatCode="0.00\ &quot; kg&quot;"/>
    <numFmt numFmtId="181" formatCode="0.00\ &quot;g&quot;"/>
    <numFmt numFmtId="182" formatCode="0.0\ &quot;g&quot;"/>
    <numFmt numFmtId="183" formatCode="0.00&quot;l/m³&quot;"/>
    <numFmt numFmtId="184" formatCode="0.0000%"/>
    <numFmt numFmtId="185" formatCode="_-&quot;R$&quot;* #,##0.00_-;\-&quot;R$&quot;* #,##0.00_-;_-&quot;R$&quot;* &quot;-&quot;??_-;_-@_-"/>
    <numFmt numFmtId="186" formatCode="_-* #,##0.00_-;\-* #,##0.00_-;_-* &quot;-&quot;??_-;_-@_-"/>
    <numFmt numFmtId="187" formatCode="0\ &quot;mm&quot;"/>
    <numFmt numFmtId="188" formatCode="0.00\ &quot;litros&quot;"/>
    <numFmt numFmtId="189" formatCode="&quot;C&quot;0"/>
  </numFmts>
  <fonts count="2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sz val="10"/>
    </font>
    <font>
      <name val="Calibri"/>
      <family val="2"/>
      <b val="1"/>
      <sz val="18"/>
      <scheme val="minor"/>
    </font>
    <font>
      <name val="Calibri"/>
      <family val="2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sz val="10"/>
      <scheme val="minor"/>
    </font>
    <font>
      <name val="Calibri"/>
      <family val="2"/>
      <sz val="9"/>
      <scheme val="minor"/>
    </font>
    <font>
      <name val="Calibri"/>
      <family val="2"/>
      <sz val="18"/>
      <scheme val="minor"/>
    </font>
    <font>
      <name val="Calibri"/>
      <family val="2"/>
      <sz val="11"/>
      <u val="single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sz val="9"/>
      <scheme val="minor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Calibri"/>
      <family val="2"/>
      <b val="1"/>
      <sz val="8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b val="1"/>
      <color rgb="FFFF0000"/>
      <sz val="9"/>
      <scheme val="minor"/>
    </font>
    <font>
      <b val="1"/>
      <color rgb="00FF6600"/>
      <sz val="11"/>
    </font>
    <font>
      <b val="1"/>
    </font>
    <font>
      <i val="1"/>
      <sz val="9"/>
    </font>
  </fonts>
  <fills count="8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</borders>
  <cellStyleXfs count="5">
    <xf numFmtId="0" fontId="1" fillId="0" borderId="0"/>
    <xf numFmtId="43" fontId="1" fillId="0" borderId="0"/>
    <xf numFmtId="185" fontId="1" fillId="0" borderId="0"/>
    <xf numFmtId="0" fontId="3" fillId="0" borderId="0"/>
    <xf numFmtId="9" fontId="3" fillId="0" borderId="0"/>
  </cellStyleXfs>
  <cellXfs count="371">
    <xf numFmtId="0" fontId="0" fillId="0" borderId="0" pivotButton="0" quotePrefix="0" xfId="0"/>
    <xf numFmtId="0" fontId="5" fillId="0" borderId="0" pivotButton="0" quotePrefix="0" xfId="3"/>
    <xf numFmtId="0" fontId="8" fillId="4" borderId="9" applyAlignment="1" applyProtection="1" pivotButton="0" quotePrefix="0" xfId="3">
      <alignment horizontal="right" vertical="center" wrapText="1"/>
      <protection locked="0" hidden="0"/>
    </xf>
    <xf numFmtId="0" fontId="6" fillId="0" borderId="12" pivotButton="0" quotePrefix="0" xfId="3"/>
    <xf numFmtId="164" fontId="5" fillId="3" borderId="11" applyAlignment="1" applyProtection="1" pivotButton="0" quotePrefix="0" xfId="3">
      <alignment horizontal="center"/>
      <protection locked="0" hidden="0"/>
    </xf>
    <xf numFmtId="164" fontId="5" fillId="3" borderId="12" applyAlignment="1" applyProtection="1" pivotButton="0" quotePrefix="0" xfId="3">
      <alignment horizontal="center"/>
      <protection locked="0" hidden="0"/>
    </xf>
    <xf numFmtId="165" fontId="5" fillId="3" borderId="11" applyAlignment="1" pivotButton="0" quotePrefix="0" xfId="3">
      <alignment horizontal="center"/>
    </xf>
    <xf numFmtId="164" fontId="5" fillId="5" borderId="11" applyAlignment="1" applyProtection="1" pivotButton="0" quotePrefix="0" xfId="3">
      <alignment horizontal="center"/>
      <protection locked="0" hidden="0"/>
    </xf>
    <xf numFmtId="166" fontId="5" fillId="3" borderId="11" applyAlignment="1" pivotButton="0" quotePrefix="0" xfId="3">
      <alignment horizontal="center"/>
    </xf>
    <xf numFmtId="165" fontId="11" fillId="3" borderId="11" applyAlignment="1" pivotButton="0" quotePrefix="0" xfId="3">
      <alignment horizontal="center"/>
    </xf>
    <xf numFmtId="164" fontId="5" fillId="3" borderId="11" applyAlignment="1" applyProtection="1" pivotButton="0" quotePrefix="1" xfId="3">
      <alignment horizontal="center"/>
      <protection locked="0" hidden="0"/>
    </xf>
    <xf numFmtId="167" fontId="5" fillId="3" borderId="11" applyAlignment="1" pivotButton="0" quotePrefix="0" xfId="3">
      <alignment horizontal="center"/>
    </xf>
    <xf numFmtId="165" fontId="5" fillId="3" borderId="16" applyAlignment="1" pivotButton="0" quotePrefix="0" xfId="3">
      <alignment horizontal="center"/>
    </xf>
    <xf numFmtId="9" fontId="5" fillId="0" borderId="0" pivotButton="0" quotePrefix="0" xfId="3"/>
    <xf numFmtId="0" fontId="13" fillId="6" borderId="17" applyAlignment="1" pivotButton="0" quotePrefix="0" xfId="3">
      <alignment horizontal="left"/>
    </xf>
    <xf numFmtId="168" fontId="10" fillId="6" borderId="18" applyAlignment="1" pivotButton="0" quotePrefix="0" xfId="3">
      <alignment horizontal="center" vertical="center"/>
    </xf>
    <xf numFmtId="169" fontId="14" fillId="5" borderId="11" applyAlignment="1" pivotButton="0" quotePrefix="0" xfId="3">
      <alignment horizontal="center"/>
    </xf>
    <xf numFmtId="0" fontId="11" fillId="6" borderId="19" applyAlignment="1" pivotButton="0" quotePrefix="0" xfId="3">
      <alignment horizontal="left"/>
    </xf>
    <xf numFmtId="170" fontId="11" fillId="3" borderId="20" applyAlignment="1" applyProtection="1" pivotButton="0" quotePrefix="0" xfId="4">
      <alignment horizontal="center"/>
      <protection locked="0" hidden="0"/>
    </xf>
    <xf numFmtId="0" fontId="11" fillId="6" borderId="0" applyAlignment="1" pivotButton="0" quotePrefix="0" xfId="3">
      <alignment horizontal="left"/>
    </xf>
    <xf numFmtId="170" fontId="11" fillId="6" borderId="21" applyAlignment="1" pivotButton="0" quotePrefix="0" xfId="4">
      <alignment horizontal="center"/>
    </xf>
    <xf numFmtId="170" fontId="11" fillId="3" borderId="5" applyAlignment="1" applyProtection="1" pivotButton="0" quotePrefix="0" xfId="4">
      <alignment horizontal="center"/>
      <protection locked="0" hidden="0"/>
    </xf>
    <xf numFmtId="170" fontId="11" fillId="6" borderId="10" applyAlignment="1" pivotButton="0" quotePrefix="0" xfId="4">
      <alignment horizontal="center"/>
    </xf>
    <xf numFmtId="0" fontId="13" fillId="6" borderId="19" applyAlignment="1" pivotButton="0" quotePrefix="0" xfId="3">
      <alignment horizontal="left"/>
    </xf>
    <xf numFmtId="0" fontId="5" fillId="6" borderId="0" applyAlignment="1" pivotButton="0" quotePrefix="0" xfId="3">
      <alignment horizontal="left"/>
    </xf>
    <xf numFmtId="0" fontId="5" fillId="6" borderId="15" applyAlignment="1" pivotButton="0" quotePrefix="0" xfId="3">
      <alignment horizontal="left"/>
    </xf>
    <xf numFmtId="2" fontId="5" fillId="0" borderId="11" applyAlignment="1" pivotButton="0" quotePrefix="0" xfId="4">
      <alignment horizontal="center"/>
    </xf>
    <xf numFmtId="171" fontId="5" fillId="0" borderId="11" applyAlignment="1" pivotButton="0" quotePrefix="0" xfId="3">
      <alignment horizontal="center"/>
    </xf>
    <xf numFmtId="169" fontId="5" fillId="0" borderId="11" applyAlignment="1" pivotButton="0" quotePrefix="0" xfId="3">
      <alignment horizontal="center"/>
    </xf>
    <xf numFmtId="166" fontId="8" fillId="5" borderId="13" applyAlignment="1" pivotButton="0" quotePrefix="0" xfId="3">
      <alignment horizontal="center"/>
    </xf>
    <xf numFmtId="0" fontId="11" fillId="6" borderId="0" applyAlignment="1" pivotButton="0" quotePrefix="0" xfId="3">
      <alignment horizontal="center"/>
    </xf>
    <xf numFmtId="164" fontId="11" fillId="6" borderId="15" applyAlignment="1" pivotButton="0" quotePrefix="0" xfId="3">
      <alignment horizontal="center"/>
    </xf>
    <xf numFmtId="2" fontId="5" fillId="0" borderId="11" applyAlignment="1" pivotButton="0" quotePrefix="0" xfId="3">
      <alignment horizontal="center"/>
    </xf>
    <xf numFmtId="170" fontId="11" fillId="3" borderId="21" applyAlignment="1" applyProtection="1" pivotButton="0" quotePrefix="0" xfId="3">
      <alignment horizontal="center"/>
      <protection locked="0" hidden="0"/>
    </xf>
    <xf numFmtId="10" fontId="11" fillId="3" borderId="10" applyAlignment="1" applyProtection="1" pivotButton="0" quotePrefix="0" xfId="3">
      <alignment horizontal="center"/>
      <protection locked="0" hidden="0"/>
    </xf>
    <xf numFmtId="172" fontId="11" fillId="3" borderId="20" applyAlignment="1" applyProtection="1" pivotButton="0" quotePrefix="0" xfId="3">
      <alignment horizontal="left"/>
      <protection locked="0" hidden="0"/>
    </xf>
    <xf numFmtId="0" fontId="13" fillId="6" borderId="0" applyAlignment="1" pivotButton="0" quotePrefix="0" xfId="3">
      <alignment horizontal="left"/>
    </xf>
    <xf numFmtId="173" fontId="11" fillId="3" borderId="21" applyAlignment="1" applyProtection="1" pivotButton="0" quotePrefix="0" xfId="3">
      <alignment horizontal="center"/>
      <protection locked="0" hidden="0"/>
    </xf>
    <xf numFmtId="172" fontId="15" fillId="6" borderId="0" applyAlignment="1" pivotButton="0" quotePrefix="0" xfId="1">
      <alignment horizontal="left"/>
    </xf>
    <xf numFmtId="173" fontId="11" fillId="3" borderId="10" applyAlignment="1" applyProtection="1" pivotButton="0" quotePrefix="0" xfId="3">
      <alignment horizontal="center"/>
      <protection locked="0" hidden="0"/>
    </xf>
    <xf numFmtId="174" fontId="11" fillId="6" borderId="0" applyAlignment="1" pivotButton="0" quotePrefix="0" xfId="3">
      <alignment horizontal="left"/>
    </xf>
    <xf numFmtId="10" fontId="5" fillId="0" borderId="11" applyAlignment="1" pivotButton="0" quotePrefix="0" xfId="3">
      <alignment horizontal="center"/>
    </xf>
    <xf numFmtId="175" fontId="5" fillId="0" borderId="11" applyAlignment="1" pivotButton="0" quotePrefix="0" xfId="3">
      <alignment horizontal="center"/>
    </xf>
    <xf numFmtId="174" fontId="15" fillId="6" borderId="0" applyAlignment="1" pivotButton="0" quotePrefix="0" xfId="3">
      <alignment horizontal="left"/>
    </xf>
    <xf numFmtId="173" fontId="15" fillId="6" borderId="25" applyAlignment="1" pivotButton="0" quotePrefix="0" xfId="3">
      <alignment horizontal="left"/>
    </xf>
    <xf numFmtId="0" fontId="11" fillId="6" borderId="0" pivotButton="0" quotePrefix="0" xfId="3"/>
    <xf numFmtId="0" fontId="11" fillId="6" borderId="15" pivotButton="0" quotePrefix="0" xfId="3"/>
    <xf numFmtId="0" fontId="11" fillId="0" borderId="0" pivotButton="0" quotePrefix="0" xfId="3"/>
    <xf numFmtId="176" fontId="16" fillId="3" borderId="20" applyAlignment="1" applyProtection="1" pivotButton="0" quotePrefix="0" xfId="4">
      <alignment horizontal="left"/>
      <protection locked="0" hidden="0"/>
    </xf>
    <xf numFmtId="10" fontId="16" fillId="3" borderId="21" applyAlignment="1" applyProtection="1" pivotButton="0" quotePrefix="0" xfId="4">
      <alignment horizontal="left"/>
      <protection locked="0" hidden="0"/>
    </xf>
    <xf numFmtId="177" fontId="16" fillId="6" borderId="0" applyAlignment="1" pivotButton="0" quotePrefix="0" xfId="4">
      <alignment horizontal="left"/>
    </xf>
    <xf numFmtId="177" fontId="16" fillId="6" borderId="15" applyAlignment="1" pivotButton="0" quotePrefix="0" xfId="4">
      <alignment horizontal="left"/>
    </xf>
    <xf numFmtId="10" fontId="5" fillId="0" borderId="16" applyAlignment="1" pivotButton="0" quotePrefix="0" xfId="3">
      <alignment horizontal="center"/>
    </xf>
    <xf numFmtId="175" fontId="5" fillId="0" borderId="16" applyAlignment="1" pivotButton="0" quotePrefix="0" xfId="3">
      <alignment horizontal="center"/>
    </xf>
    <xf numFmtId="169" fontId="5" fillId="0" borderId="16" applyAlignment="1" pivotButton="0" quotePrefix="0" xfId="3">
      <alignment horizontal="center"/>
    </xf>
    <xf numFmtId="166" fontId="8" fillId="5" borderId="26" applyAlignment="1" pivotButton="0" quotePrefix="0" xfId="3">
      <alignment horizontal="center"/>
    </xf>
    <xf numFmtId="175" fontId="5" fillId="3" borderId="23" applyAlignment="1" pivotButton="0" quotePrefix="0" xfId="3">
      <alignment horizontal="center"/>
    </xf>
    <xf numFmtId="169" fontId="5" fillId="3" borderId="23" applyAlignment="1" pivotButton="0" quotePrefix="0" xfId="3">
      <alignment horizontal="center"/>
    </xf>
    <xf numFmtId="167" fontId="5" fillId="3" borderId="23" applyAlignment="1" pivotButton="0" quotePrefix="0" xfId="3">
      <alignment horizontal="center"/>
    </xf>
    <xf numFmtId="166" fontId="8" fillId="5" borderId="24" applyAlignment="1" pivotButton="0" quotePrefix="0" xfId="3">
      <alignment horizontal="center"/>
    </xf>
    <xf numFmtId="0" fontId="2" fillId="0" borderId="0" pivotButton="0" quotePrefix="0" xfId="3"/>
    <xf numFmtId="0" fontId="11" fillId="6" borderId="19" applyAlignment="1" pivotButton="0" quotePrefix="0" xfId="3">
      <alignment horizontal="center"/>
    </xf>
    <xf numFmtId="172" fontId="11" fillId="6" borderId="0" applyAlignment="1" pivotButton="0" quotePrefix="0" xfId="3">
      <alignment horizontal="left"/>
    </xf>
    <xf numFmtId="172" fontId="11" fillId="6" borderId="15" applyAlignment="1" pivotButton="0" quotePrefix="0" xfId="3">
      <alignment horizontal="left"/>
    </xf>
    <xf numFmtId="170" fontId="11" fillId="3" borderId="27" applyAlignment="1" applyProtection="1" pivotButton="0" quotePrefix="0" xfId="3">
      <alignment horizontal="center"/>
      <protection locked="0" hidden="0"/>
    </xf>
    <xf numFmtId="175" fontId="5" fillId="3" borderId="16" applyAlignment="1" pivotButton="0" quotePrefix="0" xfId="3">
      <alignment horizontal="center"/>
    </xf>
    <xf numFmtId="169" fontId="5" fillId="3" borderId="16" applyAlignment="1" pivotButton="0" quotePrefix="0" xfId="3">
      <alignment horizontal="center"/>
    </xf>
    <xf numFmtId="167" fontId="5" fillId="3" borderId="16" applyAlignment="1" pivotButton="0" quotePrefix="0" xfId="3">
      <alignment horizontal="center"/>
    </xf>
    <xf numFmtId="0" fontId="15" fillId="0" borderId="0" pivotButton="0" quotePrefix="0" xfId="3"/>
    <xf numFmtId="0" fontId="16" fillId="6" borderId="19" applyAlignment="1" pivotButton="0" quotePrefix="0" xfId="3">
      <alignment horizontal="center"/>
    </xf>
    <xf numFmtId="172" fontId="16" fillId="6" borderId="0" applyAlignment="1" pivotButton="0" quotePrefix="0" xfId="3">
      <alignment horizontal="left"/>
    </xf>
    <xf numFmtId="0" fontId="16" fillId="6" borderId="0" applyAlignment="1" pivotButton="0" quotePrefix="0" xfId="3">
      <alignment horizontal="center"/>
    </xf>
    <xf numFmtId="172" fontId="16" fillId="6" borderId="15" applyAlignment="1" pivotButton="0" quotePrefix="0" xfId="3">
      <alignment horizontal="left"/>
    </xf>
    <xf numFmtId="0" fontId="8" fillId="5" borderId="23" applyAlignment="1" pivotButton="0" quotePrefix="0" xfId="3">
      <alignment horizontal="center"/>
    </xf>
    <xf numFmtId="175" fontId="8" fillId="5" borderId="23" applyAlignment="1" pivotButton="0" quotePrefix="0" xfId="3">
      <alignment horizontal="center"/>
    </xf>
    <xf numFmtId="169" fontId="8" fillId="5" borderId="23" applyAlignment="1" pivotButton="0" quotePrefix="0" xfId="3">
      <alignment horizontal="center"/>
    </xf>
    <xf numFmtId="165" fontId="8" fillId="5" borderId="23" applyAlignment="1" pivotButton="0" quotePrefix="0" xfId="3">
      <alignment horizontal="center"/>
    </xf>
    <xf numFmtId="0" fontId="11" fillId="0" borderId="28" applyAlignment="1" pivotButton="0" quotePrefix="0" xfId="3">
      <alignment horizontal="center"/>
    </xf>
    <xf numFmtId="0" fontId="11" fillId="0" borderId="31" applyAlignment="1" pivotButton="0" quotePrefix="0" xfId="3">
      <alignment horizontal="center"/>
    </xf>
    <xf numFmtId="10" fontId="11" fillId="0" borderId="31" applyAlignment="1" pivotButton="0" quotePrefix="0" xfId="4">
      <alignment horizontal="center"/>
    </xf>
    <xf numFmtId="0" fontId="18" fillId="6" borderId="0" applyAlignment="1" pivotButton="0" quotePrefix="0" xfId="3">
      <alignment horizontal="left"/>
    </xf>
    <xf numFmtId="172" fontId="19" fillId="6" borderId="0" applyAlignment="1" pivotButton="0" quotePrefix="0" xfId="3">
      <alignment horizontal="center"/>
    </xf>
    <xf numFmtId="0" fontId="11" fillId="0" borderId="32" applyAlignment="1" pivotButton="0" quotePrefix="0" xfId="3">
      <alignment horizontal="left"/>
    </xf>
    <xf numFmtId="0" fontId="11" fillId="0" borderId="31" pivotButton="0" quotePrefix="0" xfId="3"/>
    <xf numFmtId="0" fontId="5" fillId="0" borderId="31" applyAlignment="1" pivotButton="0" quotePrefix="0" xfId="3">
      <alignment horizontal="center"/>
    </xf>
    <xf numFmtId="0" fontId="5" fillId="0" borderId="12" applyAlignment="1" pivotButton="0" quotePrefix="0" xfId="3">
      <alignment horizontal="left"/>
    </xf>
    <xf numFmtId="0" fontId="5" fillId="0" borderId="5" applyAlignment="1" pivotButton="0" quotePrefix="0" xfId="3">
      <alignment horizontal="center"/>
    </xf>
    <xf numFmtId="178" fontId="8" fillId="0" borderId="11" applyAlignment="1" pivotButton="0" quotePrefix="0" xfId="3">
      <alignment horizontal="center"/>
    </xf>
    <xf numFmtId="0" fontId="5" fillId="0" borderId="11" applyAlignment="1" pivotButton="0" quotePrefix="0" xfId="3">
      <alignment horizontal="center"/>
    </xf>
    <xf numFmtId="178" fontId="8" fillId="5" borderId="11" applyAlignment="1" pivotButton="0" quotePrefix="0" xfId="3">
      <alignment horizontal="center"/>
    </xf>
    <xf numFmtId="10" fontId="2" fillId="3" borderId="11" applyAlignment="1" applyProtection="1" pivotButton="0" quotePrefix="0" xfId="4">
      <alignment horizontal="center"/>
      <protection locked="0" hidden="0"/>
    </xf>
    <xf numFmtId="10" fontId="5" fillId="3" borderId="11" applyAlignment="1" applyProtection="1" pivotButton="0" quotePrefix="0" xfId="4">
      <alignment horizontal="center"/>
      <protection locked="0" hidden="0"/>
    </xf>
    <xf numFmtId="179" fontId="8" fillId="0" borderId="11" applyAlignment="1" pivotButton="0" quotePrefix="0" xfId="3">
      <alignment horizontal="center"/>
    </xf>
    <xf numFmtId="2" fontId="20" fillId="0" borderId="11" applyAlignment="1" pivotButton="0" quotePrefix="0" xfId="3">
      <alignment horizontal="center"/>
    </xf>
    <xf numFmtId="180" fontId="8" fillId="5" borderId="11" applyAlignment="1" pivotButton="0" quotePrefix="0" xfId="3">
      <alignment horizontal="center"/>
    </xf>
    <xf numFmtId="181" fontId="8" fillId="0" borderId="11" applyAlignment="1" pivotButton="0" quotePrefix="0" xfId="3">
      <alignment horizontal="center"/>
    </xf>
    <xf numFmtId="182" fontId="8" fillId="5" borderId="11" applyAlignment="1" pivotButton="0" quotePrefix="0" xfId="3">
      <alignment horizontal="center"/>
    </xf>
    <xf numFmtId="0" fontId="5" fillId="0" borderId="20" applyAlignment="1" pivotButton="0" quotePrefix="0" xfId="3">
      <alignment horizontal="center"/>
    </xf>
    <xf numFmtId="0" fontId="8" fillId="0" borderId="14" pivotButton="0" quotePrefix="0" xfId="3"/>
    <xf numFmtId="0" fontId="5" fillId="0" borderId="28" pivotButton="0" quotePrefix="0" xfId="3"/>
    <xf numFmtId="0" fontId="5" fillId="0" borderId="32" pivotButton="0" quotePrefix="0" xfId="3"/>
    <xf numFmtId="0" fontId="5" fillId="0" borderId="31" pivotButton="0" quotePrefix="0" xfId="3"/>
    <xf numFmtId="0" fontId="5" fillId="0" borderId="38" pivotButton="0" quotePrefix="0" xfId="3"/>
    <xf numFmtId="0" fontId="5" fillId="0" borderId="39" pivotButton="0" quotePrefix="0" xfId="3"/>
    <xf numFmtId="0" fontId="5" fillId="0" borderId="39" applyAlignment="1" pivotButton="0" quotePrefix="0" xfId="3">
      <alignment horizontal="center"/>
    </xf>
    <xf numFmtId="179" fontId="5" fillId="0" borderId="11" applyAlignment="1" pivotButton="0" quotePrefix="0" xfId="3">
      <alignment horizontal="center"/>
    </xf>
    <xf numFmtId="0" fontId="5" fillId="0" borderId="14" applyAlignment="1" pivotButton="0" quotePrefix="0" xfId="3">
      <alignment horizontal="left" vertical="center"/>
    </xf>
    <xf numFmtId="183" fontId="5" fillId="0" borderId="11" pivotButton="0" quotePrefix="0" xfId="3"/>
    <xf numFmtId="184" fontId="5" fillId="0" borderId="11" applyAlignment="1" pivotButton="0" quotePrefix="0" xfId="4">
      <alignment horizontal="center"/>
    </xf>
    <xf numFmtId="164" fontId="5" fillId="0" borderId="11" applyAlignment="1" pivotButton="0" quotePrefix="0" xfId="3">
      <alignment horizontal="center"/>
    </xf>
    <xf numFmtId="172" fontId="5" fillId="0" borderId="11" applyAlignment="1" pivotButton="0" quotePrefix="0" xfId="3">
      <alignment horizontal="center"/>
    </xf>
    <xf numFmtId="0" fontId="5" fillId="0" borderId="36" applyAlignment="1" pivotButton="0" quotePrefix="0" xfId="3">
      <alignment horizontal="left" vertical="center"/>
    </xf>
    <xf numFmtId="0" fontId="5" fillId="0" borderId="20" applyAlignment="1" pivotButton="0" quotePrefix="0" xfId="3">
      <alignment horizontal="center" vertical="center"/>
    </xf>
    <xf numFmtId="172" fontId="5" fillId="0" borderId="12" applyAlignment="1" pivotButton="0" quotePrefix="0" xfId="3">
      <alignment horizontal="center"/>
    </xf>
    <xf numFmtId="0" fontId="5" fillId="0" borderId="40" pivotButton="0" quotePrefix="0" xfId="3"/>
    <xf numFmtId="0" fontId="5" fillId="0" borderId="41" pivotButton="0" quotePrefix="0" xfId="3"/>
    <xf numFmtId="0" fontId="5" fillId="0" borderId="42" applyAlignment="1" applyProtection="1" pivotButton="0" quotePrefix="0" xfId="3">
      <alignment horizontal="center"/>
      <protection locked="0" hidden="0"/>
    </xf>
    <xf numFmtId="0" fontId="8" fillId="2" borderId="12" applyAlignment="1" pivotButton="0" quotePrefix="0" xfId="3">
      <alignment horizontal="center"/>
    </xf>
    <xf numFmtId="0" fontId="8" fillId="2" borderId="11" applyAlignment="1" pivotButton="0" quotePrefix="0" xfId="3">
      <alignment horizontal="center"/>
    </xf>
    <xf numFmtId="185" fontId="11" fillId="0" borderId="34" applyAlignment="1" pivotButton="0" quotePrefix="0" xfId="2">
      <alignment horizontal="center" vertical="center"/>
    </xf>
    <xf numFmtId="186" fontId="16" fillId="0" borderId="31" applyAlignment="1" pivotButton="0" quotePrefix="0" xfId="1">
      <alignment horizontal="center"/>
    </xf>
    <xf numFmtId="185" fontId="15" fillId="0" borderId="31" applyAlignment="1" pivotButton="0" quotePrefix="0" xfId="2">
      <alignment horizontal="center"/>
    </xf>
    <xf numFmtId="0" fontId="11" fillId="0" borderId="32" applyAlignment="1" pivotButton="0" quotePrefix="0" xfId="3">
      <alignment horizontal="center"/>
    </xf>
    <xf numFmtId="164" fontId="11" fillId="0" borderId="32" applyAlignment="1" pivotButton="0" quotePrefix="0" xfId="3">
      <alignment horizontal="center"/>
    </xf>
    <xf numFmtId="0" fontId="16" fillId="0" borderId="32" applyAlignment="1" pivotButton="0" quotePrefix="0" xfId="3">
      <alignment horizontal="center"/>
    </xf>
    <xf numFmtId="186" fontId="11" fillId="0" borderId="34" applyAlignment="1" pivotButton="0" quotePrefix="0" xfId="3">
      <alignment horizontal="center"/>
    </xf>
    <xf numFmtId="185" fontId="11" fillId="0" borderId="34" pivotButton="0" quotePrefix="0" xfId="2"/>
    <xf numFmtId="185" fontId="16" fillId="0" borderId="34" applyAlignment="1" pivotButton="0" quotePrefix="0" xfId="2">
      <alignment horizontal="center" vertical="center"/>
    </xf>
    <xf numFmtId="187" fontId="8" fillId="3" borderId="42" applyAlignment="1" applyProtection="1" pivotButton="0" quotePrefix="0" xfId="3">
      <alignment horizontal="center" vertical="center"/>
      <protection locked="0" hidden="0"/>
    </xf>
    <xf numFmtId="187" fontId="8" fillId="3" borderId="46" applyAlignment="1" applyProtection="1" pivotButton="0" quotePrefix="0" xfId="3">
      <alignment horizontal="center" vertical="center"/>
      <protection locked="0" hidden="0"/>
    </xf>
    <xf numFmtId="187" fontId="8" fillId="3" borderId="47" applyAlignment="1" applyProtection="1" pivotButton="0" quotePrefix="0" xfId="3">
      <alignment horizontal="center" vertical="center"/>
      <protection locked="0" hidden="0"/>
    </xf>
    <xf numFmtId="185" fontId="15" fillId="0" borderId="38" applyAlignment="1" pivotButton="0" quotePrefix="0" xfId="2">
      <alignment horizontal="center"/>
    </xf>
    <xf numFmtId="186" fontId="21" fillId="3" borderId="45" applyAlignment="1" pivotButton="0" quotePrefix="0" xfId="1">
      <alignment horizontal="center"/>
    </xf>
    <xf numFmtId="186" fontId="16" fillId="5" borderId="44" applyAlignment="1" pivotButton="0" quotePrefix="0" xfId="1">
      <alignment horizontal="center"/>
    </xf>
    <xf numFmtId="10" fontId="16" fillId="5" borderId="40" applyAlignment="1" pivotButton="0" quotePrefix="0" xfId="4">
      <alignment horizontal="center"/>
    </xf>
    <xf numFmtId="0" fontId="11" fillId="6" borderId="19" pivotButton="0" quotePrefix="0" xfId="3"/>
    <xf numFmtId="0" fontId="5" fillId="0" borderId="9" applyAlignment="1" pivotButton="0" quotePrefix="0" xfId="3">
      <alignment horizontal="center"/>
    </xf>
    <xf numFmtId="0" fontId="5" fillId="0" borderId="33" pivotButton="0" quotePrefix="0" xfId="3"/>
    <xf numFmtId="0" fontId="5" fillId="0" borderId="33" applyAlignment="1" pivotButton="0" quotePrefix="0" xfId="3">
      <alignment horizontal="center"/>
    </xf>
    <xf numFmtId="0" fontId="5" fillId="0" borderId="0" applyAlignment="1" pivotButton="0" quotePrefix="0" xfId="3">
      <alignment horizontal="center"/>
    </xf>
    <xf numFmtId="0" fontId="5" fillId="0" borderId="10" applyAlignment="1" pivotButton="0" quotePrefix="0" xfId="3">
      <alignment horizontal="center"/>
    </xf>
    <xf numFmtId="0" fontId="5" fillId="0" borderId="48" pivotButton="0" quotePrefix="0" xfId="3"/>
    <xf numFmtId="0" fontId="5" fillId="0" borderId="45" pivotButton="0" quotePrefix="0" xfId="3"/>
    <xf numFmtId="0" fontId="5" fillId="0" borderId="0" applyAlignment="1" pivotButton="0" quotePrefix="0" xfId="3">
      <alignment horizontal="center" vertical="center"/>
    </xf>
    <xf numFmtId="0" fontId="8" fillId="0" borderId="44" pivotButton="0" quotePrefix="0" xfId="3"/>
    <xf numFmtId="20" fontId="5" fillId="0" borderId="49" pivotButton="0" quotePrefix="0" xfId="3"/>
    <xf numFmtId="20" fontId="5" fillId="0" borderId="50" applyAlignment="1" pivotButton="0" quotePrefix="0" xfId="3">
      <alignment horizontal="center"/>
    </xf>
    <xf numFmtId="0" fontId="11" fillId="0" borderId="47" applyAlignment="1" pivotButton="0" quotePrefix="0" xfId="3">
      <alignment horizontal="center"/>
    </xf>
    <xf numFmtId="0" fontId="5" fillId="0" borderId="47" applyAlignment="1" pivotButton="0" quotePrefix="0" xfId="3">
      <alignment horizontal="center"/>
    </xf>
    <xf numFmtId="0" fontId="5" fillId="0" borderId="51" pivotButton="0" quotePrefix="0" xfId="3"/>
    <xf numFmtId="0" fontId="5" fillId="0" borderId="5" applyAlignment="1" pivotButton="0" quotePrefix="0" xfId="3">
      <alignment horizontal="left"/>
    </xf>
    <xf numFmtId="0" fontId="5" fillId="0" borderId="5" pivotButton="0" quotePrefix="0" xfId="3"/>
    <xf numFmtId="10" fontId="5" fillId="0" borderId="5" applyAlignment="1" pivotButton="0" quotePrefix="0" xfId="4">
      <alignment horizontal="center"/>
    </xf>
    <xf numFmtId="164" fontId="5" fillId="0" borderId="5" applyAlignment="1" pivotButton="0" quotePrefix="0" xfId="3">
      <alignment horizontal="center"/>
    </xf>
    <xf numFmtId="0" fontId="12" fillId="0" borderId="10" applyAlignment="1" pivotButton="0" quotePrefix="0" xfId="3">
      <alignment horizontal="center" vertical="center"/>
    </xf>
    <xf numFmtId="0" fontId="5" fillId="4" borderId="17" applyAlignment="1" applyProtection="1" pivotButton="0" quotePrefix="0" xfId="3">
      <alignment horizontal="center" vertical="center" wrapText="1"/>
      <protection locked="0" hidden="0"/>
    </xf>
    <xf numFmtId="0" fontId="6" fillId="3" borderId="25" applyAlignment="1" applyProtection="1" pivotButton="0" quotePrefix="0" xfId="3">
      <alignment horizontal="center" vertical="center" wrapText="1"/>
      <protection locked="0" hidden="0"/>
    </xf>
    <xf numFmtId="0" fontId="5" fillId="4" borderId="9" applyAlignment="1" applyProtection="1" pivotButton="0" quotePrefix="0" xfId="3">
      <alignment horizontal="center" vertical="center" wrapText="1"/>
      <protection locked="0" hidden="0"/>
    </xf>
    <xf numFmtId="0" fontId="8" fillId="0" borderId="18" applyAlignment="1" pivotButton="0" quotePrefix="0" xfId="3">
      <alignment vertical="center" wrapText="1"/>
    </xf>
    <xf numFmtId="0" fontId="10" fillId="0" borderId="12" applyAlignment="1" pivotButton="0" quotePrefix="0" xfId="3">
      <alignment vertical="center" wrapText="1"/>
    </xf>
    <xf numFmtId="0" fontId="10" fillId="0" borderId="5" applyAlignment="1" pivotButton="0" quotePrefix="0" xfId="3">
      <alignment vertical="center" wrapText="1"/>
    </xf>
    <xf numFmtId="0" fontId="10" fillId="0" borderId="5" applyAlignment="1" pivotButton="0" quotePrefix="0" xfId="3">
      <alignment horizontal="left" vertical="center" wrapText="1"/>
    </xf>
    <xf numFmtId="0" fontId="5" fillId="0" borderId="10" pivotButton="0" quotePrefix="0" xfId="3"/>
    <xf numFmtId="0" fontId="11" fillId="0" borderId="52" applyAlignment="1" pivotButton="0" quotePrefix="0" xfId="3">
      <alignment horizontal="left"/>
    </xf>
    <xf numFmtId="0" fontId="11" fillId="0" borderId="53" applyAlignment="1" pivotButton="0" quotePrefix="0" xfId="3">
      <alignment horizontal="center"/>
    </xf>
    <xf numFmtId="0" fontId="11" fillId="0" borderId="53" pivotButton="0" quotePrefix="0" xfId="3"/>
    <xf numFmtId="10" fontId="11" fillId="0" borderId="53" applyAlignment="1" pivotButton="0" quotePrefix="0" xfId="4">
      <alignment horizontal="center"/>
    </xf>
    <xf numFmtId="185" fontId="10" fillId="3" borderId="52" applyAlignment="1" pivotButton="0" quotePrefix="0" xfId="2">
      <alignment horizontal="center"/>
    </xf>
    <xf numFmtId="185" fontId="8" fillId="3" borderId="43" applyAlignment="1" pivotButton="0" quotePrefix="0" xfId="2">
      <alignment horizontal="center" vertical="center"/>
    </xf>
    <xf numFmtId="0" fontId="11" fillId="0" borderId="12" pivotButton="0" quotePrefix="0" xfId="3"/>
    <xf numFmtId="0" fontId="11" fillId="0" borderId="5" pivotButton="0" quotePrefix="0" xfId="3"/>
    <xf numFmtId="0" fontId="11" fillId="0" borderId="5" applyAlignment="1" pivotButton="0" quotePrefix="0" xfId="3">
      <alignment horizontal="left"/>
    </xf>
    <xf numFmtId="0" fontId="11" fillId="0" borderId="5" applyAlignment="1" pivotButton="0" quotePrefix="0" xfId="3">
      <alignment horizontal="center"/>
    </xf>
    <xf numFmtId="10" fontId="11" fillId="0" borderId="5" applyAlignment="1" pivotButton="0" quotePrefix="0" xfId="4">
      <alignment horizontal="center"/>
    </xf>
    <xf numFmtId="185" fontId="10" fillId="0" borderId="5" applyAlignment="1" pivotButton="0" quotePrefix="0" xfId="2">
      <alignment horizontal="center"/>
    </xf>
    <xf numFmtId="185" fontId="8" fillId="0" borderId="10" applyAlignment="1" pivotButton="0" quotePrefix="0" xfId="2">
      <alignment horizontal="center" vertical="center"/>
    </xf>
    <xf numFmtId="0" fontId="5" fillId="0" borderId="14" applyAlignment="1" pivotButton="0" quotePrefix="0" xfId="3">
      <alignment horizontal="center"/>
    </xf>
    <xf numFmtId="0" fontId="5" fillId="0" borderId="0" applyAlignment="1" pivotButton="0" quotePrefix="0" xfId="3">
      <alignment horizontal="center"/>
    </xf>
    <xf numFmtId="0" fontId="5" fillId="0" borderId="36" applyAlignment="1" pivotButton="0" quotePrefix="0" xfId="3">
      <alignment horizontal="center"/>
    </xf>
    <xf numFmtId="0" fontId="5" fillId="0" borderId="20" applyAlignment="1" pivotButton="0" quotePrefix="0" xfId="3">
      <alignment horizontal="center"/>
    </xf>
    <xf numFmtId="0" fontId="5" fillId="0" borderId="18" applyAlignment="1" applyProtection="1" pivotButton="0" quotePrefix="0" xfId="3">
      <alignment horizontal="center"/>
      <protection locked="0" hidden="0"/>
    </xf>
    <xf numFmtId="0" fontId="5" fillId="0" borderId="25" applyAlignment="1" applyProtection="1" pivotButton="0" quotePrefix="0" xfId="3">
      <alignment horizontal="center"/>
      <protection locked="0" hidden="0"/>
    </xf>
    <xf numFmtId="0" fontId="5" fillId="0" borderId="5" applyAlignment="1" applyProtection="1" pivotButton="0" quotePrefix="0" xfId="3">
      <alignment horizontal="center"/>
      <protection locked="0" hidden="0"/>
    </xf>
    <xf numFmtId="0" fontId="5" fillId="0" borderId="10" applyAlignment="1" applyProtection="1" pivotButton="0" quotePrefix="0" xfId="3">
      <alignment horizontal="center"/>
      <protection locked="0" hidden="0"/>
    </xf>
    <xf numFmtId="0" fontId="5" fillId="0" borderId="11" applyAlignment="1" pivotButton="0" quotePrefix="0" xfId="3">
      <alignment horizontal="center" vertical="center"/>
    </xf>
    <xf numFmtId="0" fontId="5" fillId="0" borderId="9" applyAlignment="1" pivotButton="0" quotePrefix="0" xfId="3">
      <alignment horizontal="center" vertical="center" wrapText="1"/>
    </xf>
    <xf numFmtId="0" fontId="5" fillId="0" borderId="14" applyAlignment="1" pivotButton="0" quotePrefix="0" xfId="3">
      <alignment horizontal="center" vertical="center" wrapText="1"/>
    </xf>
    <xf numFmtId="0" fontId="5" fillId="0" borderId="36" applyAlignment="1" pivotButton="0" quotePrefix="0" xfId="3">
      <alignment horizontal="center" vertical="center" wrapText="1"/>
    </xf>
    <xf numFmtId="0" fontId="5" fillId="0" borderId="11" applyAlignment="1" pivotButton="0" quotePrefix="0" xfId="3">
      <alignment horizontal="left"/>
    </xf>
    <xf numFmtId="0" fontId="8" fillId="7" borderId="36" applyAlignment="1" pivotButton="0" quotePrefix="0" xfId="3">
      <alignment horizontal="center"/>
    </xf>
    <xf numFmtId="0" fontId="8" fillId="7" borderId="20" applyAlignment="1" pivotButton="0" quotePrefix="0" xfId="3">
      <alignment horizontal="center"/>
    </xf>
    <xf numFmtId="0" fontId="8" fillId="7" borderId="21" applyAlignment="1" pivotButton="0" quotePrefix="0" xfId="3">
      <alignment horizontal="center"/>
    </xf>
    <xf numFmtId="181" fontId="8" fillId="7" borderId="12" applyAlignment="1" pivotButton="0" quotePrefix="0" xfId="3">
      <alignment horizontal="center"/>
    </xf>
    <xf numFmtId="181" fontId="8" fillId="7" borderId="5" applyAlignment="1" pivotButton="0" quotePrefix="0" xfId="3">
      <alignment horizontal="center"/>
    </xf>
    <xf numFmtId="181" fontId="8" fillId="7" borderId="10" applyAlignment="1" pivotButton="0" quotePrefix="0" xfId="3">
      <alignment horizontal="center"/>
    </xf>
    <xf numFmtId="0" fontId="8" fillId="2" borderId="12" applyAlignment="1" pivotButton="0" quotePrefix="0" xfId="3">
      <alignment horizontal="center"/>
    </xf>
    <xf numFmtId="0" fontId="8" fillId="2" borderId="5" applyAlignment="1" pivotButton="0" quotePrefix="0" xfId="3">
      <alignment horizontal="center"/>
    </xf>
    <xf numFmtId="0" fontId="8" fillId="2" borderId="10" applyAlignment="1" pivotButton="0" quotePrefix="0" xfId="3">
      <alignment horizontal="center"/>
    </xf>
    <xf numFmtId="0" fontId="5" fillId="0" borderId="23" applyAlignment="1" pivotButton="0" quotePrefix="0" xfId="3">
      <alignment horizontal="left"/>
    </xf>
    <xf numFmtId="0" fontId="8" fillId="7" borderId="12" applyAlignment="1" pivotButton="0" quotePrefix="0" xfId="3">
      <alignment horizontal="center"/>
    </xf>
    <xf numFmtId="0" fontId="8" fillId="7" borderId="5" applyAlignment="1" pivotButton="0" quotePrefix="0" xfId="3">
      <alignment horizontal="center"/>
    </xf>
    <xf numFmtId="0" fontId="8" fillId="7" borderId="10" applyAlignment="1" pivotButton="0" quotePrefix="0" xfId="3">
      <alignment horizontal="center"/>
    </xf>
    <xf numFmtId="0" fontId="5" fillId="0" borderId="9" applyAlignment="1" pivotButton="0" quotePrefix="0" xfId="3">
      <alignment horizontal="center"/>
    </xf>
    <xf numFmtId="0" fontId="5" fillId="0" borderId="18" applyAlignment="1" pivotButton="0" quotePrefix="0" xfId="3">
      <alignment horizontal="center"/>
    </xf>
    <xf numFmtId="0" fontId="17" fillId="3" borderId="16" applyAlignment="1" pivotButton="0" quotePrefix="0" xfId="3">
      <alignment horizontal="left"/>
    </xf>
    <xf numFmtId="0" fontId="8" fillId="5" borderId="23" applyAlignment="1" pivotButton="0" quotePrefix="0" xfId="3">
      <alignment horizontal="center"/>
    </xf>
    <xf numFmtId="0" fontId="8" fillId="0" borderId="9" applyAlignment="1" pivotButton="0" quotePrefix="0" xfId="3">
      <alignment horizontal="center" vertical="center"/>
    </xf>
    <xf numFmtId="0" fontId="8" fillId="0" borderId="30" applyAlignment="1" pivotButton="0" quotePrefix="0" xfId="3">
      <alignment horizontal="center" vertical="center"/>
    </xf>
    <xf numFmtId="2" fontId="8" fillId="0" borderId="9" applyAlignment="1" pivotButton="0" quotePrefix="0" xfId="3">
      <alignment horizontal="center" vertical="center"/>
    </xf>
    <xf numFmtId="2" fontId="8" fillId="0" borderId="36" applyAlignment="1" pivotButton="0" quotePrefix="0" xfId="3">
      <alignment horizontal="center" vertical="center"/>
    </xf>
    <xf numFmtId="188" fontId="8" fillId="3" borderId="18" applyAlignment="1" applyProtection="1" pivotButton="0" quotePrefix="0" xfId="3">
      <alignment horizontal="center" vertical="center"/>
      <protection locked="0" hidden="0"/>
    </xf>
    <xf numFmtId="188" fontId="8" fillId="3" borderId="25" applyAlignment="1" applyProtection="1" pivotButton="0" quotePrefix="0" xfId="3">
      <alignment horizontal="center" vertical="center"/>
      <protection locked="0" hidden="0"/>
    </xf>
    <xf numFmtId="188" fontId="8" fillId="3" borderId="20" applyAlignment="1" applyProtection="1" pivotButton="0" quotePrefix="0" xfId="3">
      <alignment horizontal="center" vertical="center"/>
      <protection locked="0" hidden="0"/>
    </xf>
    <xf numFmtId="188" fontId="8" fillId="3" borderId="21" applyAlignment="1" applyProtection="1" pivotButton="0" quotePrefix="0" xfId="3">
      <alignment horizontal="center" vertical="center"/>
      <protection locked="0" hidden="0"/>
    </xf>
    <xf numFmtId="0" fontId="8" fillId="0" borderId="10" applyAlignment="1" pivotButton="0" quotePrefix="0" xfId="3">
      <alignment horizontal="center" vertical="center" wrapText="1"/>
    </xf>
    <xf numFmtId="0" fontId="8" fillId="0" borderId="11" applyAlignment="1" pivotButton="0" quotePrefix="0" xfId="3">
      <alignment horizontal="center" vertical="center" wrapText="1"/>
    </xf>
    <xf numFmtId="185" fontId="16" fillId="5" borderId="44" applyAlignment="1" pivotButton="0" quotePrefix="0" xfId="2">
      <alignment horizontal="center"/>
    </xf>
    <xf numFmtId="185" fontId="16" fillId="5" borderId="29" applyAlignment="1" pivotButton="0" quotePrefix="0" xfId="2">
      <alignment horizontal="center"/>
    </xf>
    <xf numFmtId="0" fontId="17" fillId="3" borderId="23" applyAlignment="1" pivotButton="0" quotePrefix="0" xfId="3">
      <alignment horizontal="left"/>
    </xf>
    <xf numFmtId="0" fontId="5" fillId="0" borderId="16" applyAlignment="1" pivotButton="0" quotePrefix="0" xfId="3">
      <alignment horizontal="left"/>
    </xf>
    <xf numFmtId="168" fontId="8" fillId="2" borderId="35" applyAlignment="1" pivotButton="0" quotePrefix="0" xfId="3">
      <alignment horizontal="center" vertical="center"/>
    </xf>
    <xf numFmtId="168" fontId="8" fillId="2" borderId="20" applyAlignment="1" pivotButton="0" quotePrefix="0" xfId="3">
      <alignment horizontal="center" vertical="center"/>
    </xf>
    <xf numFmtId="168" fontId="8" fillId="2" borderId="37" applyAlignment="1" pivotButton="0" quotePrefix="0" xfId="3">
      <alignment horizontal="center" vertical="center"/>
    </xf>
    <xf numFmtId="168" fontId="8" fillId="5" borderId="12" applyAlignment="1" pivotButton="0" quotePrefix="0" xfId="3">
      <alignment horizontal="center" vertical="center"/>
    </xf>
    <xf numFmtId="168" fontId="8" fillId="5" borderId="5" applyAlignment="1" pivotButton="0" quotePrefix="0" xfId="3">
      <alignment horizontal="center" vertical="center"/>
    </xf>
    <xf numFmtId="168" fontId="8" fillId="5" borderId="6" applyAlignment="1" pivotButton="0" quotePrefix="0" xfId="3">
      <alignment horizontal="center" vertical="center"/>
    </xf>
    <xf numFmtId="10" fontId="8" fillId="2" borderId="11" applyAlignment="1" pivotButton="0" quotePrefix="0" xfId="4">
      <alignment horizontal="center" vertical="center" wrapText="1"/>
    </xf>
    <xf numFmtId="10" fontId="8" fillId="2" borderId="8" applyAlignment="1" pivotButton="0" quotePrefix="0" xfId="4">
      <alignment horizontal="center" vertical="center" wrapText="1"/>
    </xf>
    <xf numFmtId="10" fontId="8" fillId="2" borderId="23" applyAlignment="1" pivotButton="0" quotePrefix="0" xfId="4">
      <alignment horizontal="center" vertical="center" wrapText="1"/>
    </xf>
    <xf numFmtId="10" fontId="8" fillId="2" borderId="22" applyAlignment="1" pivotButton="0" quotePrefix="0" xfId="4">
      <alignment horizontal="center" vertical="center" wrapText="1"/>
    </xf>
    <xf numFmtId="10" fontId="8" fillId="2" borderId="24" applyAlignment="1" pivotButton="0" quotePrefix="0" xfId="4">
      <alignment horizontal="center" vertical="center" wrapText="1"/>
    </xf>
    <xf numFmtId="0" fontId="5" fillId="0" borderId="11" applyAlignment="1" pivotButton="0" quotePrefix="0" xfId="3">
      <alignment horizontal="right"/>
    </xf>
    <xf numFmtId="0" fontId="5" fillId="3" borderId="11" applyAlignment="1" applyProtection="1" pivotButton="0" quotePrefix="0" xfId="3">
      <alignment horizontal="center"/>
      <protection locked="0" hidden="0"/>
    </xf>
    <xf numFmtId="0" fontId="5" fillId="3" borderId="12" applyAlignment="1" applyProtection="1" pivotButton="0" quotePrefix="0" xfId="3">
      <alignment horizontal="center"/>
      <protection locked="0" hidden="0"/>
    </xf>
    <xf numFmtId="0" fontId="5" fillId="3" borderId="5" applyAlignment="1" applyProtection="1" pivotButton="0" quotePrefix="0" xfId="3">
      <alignment horizontal="center"/>
      <protection locked="0" hidden="0"/>
    </xf>
    <xf numFmtId="0" fontId="5" fillId="3" borderId="10" applyAlignment="1" applyProtection="1" pivotButton="0" quotePrefix="0" xfId="3">
      <alignment horizontal="center"/>
      <protection locked="0" hidden="0"/>
    </xf>
    <xf numFmtId="0" fontId="8" fillId="2" borderId="11" applyAlignment="1" pivotButton="0" quotePrefix="0" xfId="3">
      <alignment horizontal="center"/>
    </xf>
    <xf numFmtId="14" fontId="6" fillId="3" borderId="25" applyAlignment="1" applyProtection="1" pivotButton="0" quotePrefix="0" xfId="3">
      <alignment horizontal="center"/>
      <protection locked="0" hidden="0"/>
    </xf>
    <xf numFmtId="14" fontId="6" fillId="3" borderId="22" applyAlignment="1" applyProtection="1" pivotButton="0" quotePrefix="0" xfId="3">
      <alignment horizontal="center"/>
      <protection locked="0" hidden="0"/>
    </xf>
    <xf numFmtId="0" fontId="4" fillId="2" borderId="1" applyAlignment="1" pivotButton="0" quotePrefix="0" xfId="3">
      <alignment horizontal="center"/>
    </xf>
    <xf numFmtId="0" fontId="4" fillId="2" borderId="2" applyAlignment="1" pivotButton="0" quotePrefix="0" xfId="3">
      <alignment horizontal="center"/>
    </xf>
    <xf numFmtId="0" fontId="4" fillId="2" borderId="3" applyAlignment="1" pivotButton="0" quotePrefix="0" xfId="3">
      <alignment horizontal="center"/>
    </xf>
    <xf numFmtId="0" fontId="6" fillId="0" borderId="4" applyAlignment="1" pivotButton="0" quotePrefix="0" xfId="3">
      <alignment horizontal="center"/>
    </xf>
    <xf numFmtId="0" fontId="6" fillId="0" borderId="5" applyAlignment="1" pivotButton="0" quotePrefix="0" xfId="3">
      <alignment horizontal="center"/>
    </xf>
    <xf numFmtId="0" fontId="6" fillId="0" borderId="6" applyAlignment="1" pivotButton="0" quotePrefix="0" xfId="3">
      <alignment horizontal="center"/>
    </xf>
    <xf numFmtId="0" fontId="7" fillId="3" borderId="7" applyAlignment="1" applyProtection="1" pivotButton="0" quotePrefix="0" xfId="3">
      <alignment horizontal="center" vertical="center" wrapText="1"/>
      <protection locked="0" hidden="0"/>
    </xf>
    <xf numFmtId="0" fontId="7" fillId="3" borderId="8" applyAlignment="1" applyProtection="1" pivotButton="0" quotePrefix="0" xfId="3">
      <alignment horizontal="center" vertical="center" wrapText="1"/>
      <protection locked="0" hidden="0"/>
    </xf>
    <xf numFmtId="0" fontId="9" fillId="3" borderId="10" applyAlignment="1" applyProtection="1" pivotButton="0" quotePrefix="0" xfId="3">
      <alignment horizontal="center" vertical="center" wrapText="1"/>
      <protection locked="0" hidden="0"/>
    </xf>
    <xf numFmtId="0" fontId="9" fillId="3" borderId="11" applyAlignment="1" applyProtection="1" pivotButton="0" quotePrefix="0" xfId="3">
      <alignment horizontal="center" vertical="center" wrapText="1"/>
      <protection locked="0" hidden="0"/>
    </xf>
    <xf numFmtId="189" fontId="9" fillId="3" borderId="10" applyAlignment="1" applyProtection="1" pivotButton="0" quotePrefix="0" xfId="3">
      <alignment horizontal="center"/>
      <protection locked="0" hidden="0"/>
    </xf>
    <xf numFmtId="189" fontId="9" fillId="3" borderId="13" applyAlignment="1" applyProtection="1" pivotButton="0" quotePrefix="0" xfId="3">
      <alignment horizontal="center"/>
      <protection locked="0" hidden="0"/>
    </xf>
    <xf numFmtId="0" fontId="4" fillId="2" borderId="54" applyAlignment="1" pivotButton="0" quotePrefix="0" xfId="3">
      <alignment horizontal="center"/>
    </xf>
    <xf numFmtId="0" fontId="0" fillId="0" borderId="2" pivotButton="0" quotePrefix="0" xfId="0"/>
    <xf numFmtId="0" fontId="0" fillId="0" borderId="3" pivotButton="0" quotePrefix="0" xfId="0"/>
    <xf numFmtId="0" fontId="6" fillId="0" borderId="57" applyAlignment="1" pivotButton="0" quotePrefix="0" xfId="3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18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189" fontId="9" fillId="3" borderId="10" applyAlignment="1" applyProtection="1" pivotButton="0" quotePrefix="0" xfId="3">
      <alignment horizontal="center"/>
      <protection locked="0" hidden="0"/>
    </xf>
    <xf numFmtId="0" fontId="0" fillId="0" borderId="10" pivotButton="0" quotePrefix="0" xfId="0"/>
    <xf numFmtId="164" fontId="5" fillId="3" borderId="11" applyAlignment="1" applyProtection="1" pivotButton="0" quotePrefix="0" xfId="3">
      <alignment horizontal="center"/>
      <protection locked="0" hidden="0"/>
    </xf>
    <xf numFmtId="164" fontId="5" fillId="3" borderId="12" applyAlignment="1" applyProtection="1" pivotButton="0" quotePrefix="0" xfId="3">
      <alignment horizontal="center"/>
      <protection locked="0" hidden="0"/>
    </xf>
    <xf numFmtId="165" fontId="5" fillId="3" borderId="11" applyAlignment="1" pivotButton="0" quotePrefix="0" xfId="3">
      <alignment horizontal="center"/>
    </xf>
    <xf numFmtId="164" fontId="5" fillId="5" borderId="11" applyAlignment="1" applyProtection="1" pivotButton="0" quotePrefix="0" xfId="3">
      <alignment horizontal="center"/>
      <protection locked="0" hidden="0"/>
    </xf>
    <xf numFmtId="166" fontId="5" fillId="3" borderId="11" applyAlignment="1" pivotButton="0" quotePrefix="0" xfId="3">
      <alignment horizontal="center"/>
    </xf>
    <xf numFmtId="165" fontId="11" fillId="3" borderId="11" applyAlignment="1" pivotButton="0" quotePrefix="0" xfId="3">
      <alignment horizontal="center"/>
    </xf>
    <xf numFmtId="164" fontId="5" fillId="3" borderId="11" applyAlignment="1" applyProtection="1" pivotButton="0" quotePrefix="1" xfId="3">
      <alignment horizontal="center"/>
      <protection locked="0" hidden="0"/>
    </xf>
    <xf numFmtId="9" fontId="5" fillId="3" borderId="12" applyAlignment="1" applyProtection="1" pivotButton="0" quotePrefix="0" xfId="3">
      <alignment horizontal="center"/>
      <protection locked="0" hidden="0"/>
    </xf>
    <xf numFmtId="167" fontId="5" fillId="3" borderId="11" applyAlignment="1" pivotButton="0" quotePrefix="0" xfId="3">
      <alignment horizontal="center"/>
    </xf>
    <xf numFmtId="164" fontId="5" fillId="0" borderId="5" applyAlignment="1" pivotButton="0" quotePrefix="0" xfId="3">
      <alignment horizontal="center"/>
    </xf>
    <xf numFmtId="168" fontId="8" fillId="2" borderId="59" applyAlignment="1" pivotButton="0" quotePrefix="0" xfId="3">
      <alignment horizontal="center" vertical="center"/>
    </xf>
    <xf numFmtId="0" fontId="0" fillId="0" borderId="20" pivotButton="0" quotePrefix="0" xfId="0"/>
    <xf numFmtId="0" fontId="0" fillId="0" borderId="37" pivotButton="0" quotePrefix="0" xfId="0"/>
    <xf numFmtId="168" fontId="10" fillId="6" borderId="18" applyAlignment="1" pivotButton="0" quotePrefix="0" xfId="3">
      <alignment horizontal="center" vertical="center"/>
    </xf>
    <xf numFmtId="169" fontId="14" fillId="5" borderId="11" applyAlignment="1" pivotButton="0" quotePrefix="0" xfId="3">
      <alignment horizontal="center"/>
    </xf>
    <xf numFmtId="168" fontId="8" fillId="5" borderId="13" applyAlignment="1" pivotButton="0" quotePrefix="0" xfId="3">
      <alignment horizontal="center" vertical="center"/>
    </xf>
    <xf numFmtId="170" fontId="11" fillId="3" borderId="20" applyAlignment="1" applyProtection="1" pivotButton="0" quotePrefix="0" xfId="4">
      <alignment horizontal="center"/>
      <protection locked="0" hidden="0"/>
    </xf>
    <xf numFmtId="170" fontId="11" fillId="6" borderId="21" applyAlignment="1" pivotButton="0" quotePrefix="0" xfId="4">
      <alignment horizontal="center"/>
    </xf>
    <xf numFmtId="0" fontId="0" fillId="0" borderId="25" pivotButton="0" quotePrefix="0" xfId="0"/>
    <xf numFmtId="10" fontId="8" fillId="2" borderId="13" applyAlignment="1" pivotButton="0" quotePrefix="0" xfId="4">
      <alignment horizontal="center" vertical="center" wrapText="1"/>
    </xf>
    <xf numFmtId="170" fontId="11" fillId="3" borderId="5" applyAlignment="1" applyProtection="1" pivotButton="0" quotePrefix="0" xfId="4">
      <alignment horizontal="center"/>
      <protection locked="0" hidden="0"/>
    </xf>
    <xf numFmtId="170" fontId="11" fillId="6" borderId="10" applyAlignment="1" pivotButton="0" quotePrefix="0" xfId="4">
      <alignment horizontal="center"/>
    </xf>
    <xf numFmtId="0" fontId="0" fillId="0" borderId="36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4" pivotButton="0" quotePrefix="0" xfId="0"/>
    <xf numFmtId="171" fontId="5" fillId="0" borderId="11" applyAlignment="1" pivotButton="0" quotePrefix="0" xfId="3">
      <alignment horizontal="center"/>
    </xf>
    <xf numFmtId="169" fontId="5" fillId="0" borderId="11" applyAlignment="1" pivotButton="0" quotePrefix="0" xfId="3">
      <alignment horizontal="center"/>
    </xf>
    <xf numFmtId="166" fontId="8" fillId="5" borderId="13" applyAlignment="1" pivotButton="0" quotePrefix="0" xfId="3">
      <alignment horizontal="center"/>
    </xf>
    <xf numFmtId="164" fontId="11" fillId="6" borderId="15" applyAlignment="1" pivotButton="0" quotePrefix="0" xfId="3">
      <alignment horizontal="center"/>
    </xf>
    <xf numFmtId="170" fontId="11" fillId="3" borderId="21" applyAlignment="1" applyProtection="1" pivotButton="0" quotePrefix="0" xfId="3">
      <alignment horizontal="center"/>
      <protection locked="0" hidden="0"/>
    </xf>
    <xf numFmtId="172" fontId="11" fillId="3" borderId="20" applyAlignment="1" applyProtection="1" pivotButton="0" quotePrefix="0" xfId="3">
      <alignment horizontal="left"/>
      <protection locked="0" hidden="0"/>
    </xf>
    <xf numFmtId="173" fontId="11" fillId="3" borderId="21" applyAlignment="1" applyProtection="1" pivotButton="0" quotePrefix="0" xfId="3">
      <alignment horizontal="center"/>
      <protection locked="0" hidden="0"/>
    </xf>
    <xf numFmtId="172" fontId="15" fillId="6" borderId="0" applyAlignment="1" pivotButton="0" quotePrefix="0" xfId="1">
      <alignment horizontal="left"/>
    </xf>
    <xf numFmtId="173" fontId="11" fillId="3" borderId="10" applyAlignment="1" applyProtection="1" pivotButton="0" quotePrefix="0" xfId="3">
      <alignment horizontal="center"/>
      <protection locked="0" hidden="0"/>
    </xf>
    <xf numFmtId="174" fontId="11" fillId="6" borderId="0" applyAlignment="1" pivotButton="0" quotePrefix="0" xfId="3">
      <alignment horizontal="left"/>
    </xf>
    <xf numFmtId="175" fontId="5" fillId="0" borderId="11" applyAlignment="1" pivotButton="0" quotePrefix="0" xfId="3">
      <alignment horizontal="center"/>
    </xf>
    <xf numFmtId="174" fontId="15" fillId="6" borderId="0" applyAlignment="1" pivotButton="0" quotePrefix="0" xfId="3">
      <alignment horizontal="left"/>
    </xf>
    <xf numFmtId="173" fontId="15" fillId="6" borderId="25" applyAlignment="1" pivotButton="0" quotePrefix="0" xfId="3">
      <alignment horizontal="left"/>
    </xf>
    <xf numFmtId="176" fontId="16" fillId="3" borderId="20" applyAlignment="1" applyProtection="1" pivotButton="0" quotePrefix="0" xfId="4">
      <alignment horizontal="left"/>
      <protection locked="0" hidden="0"/>
    </xf>
    <xf numFmtId="177" fontId="16" fillId="6" borderId="0" applyAlignment="1" pivotButton="0" quotePrefix="0" xfId="4">
      <alignment horizontal="left"/>
    </xf>
    <xf numFmtId="177" fontId="16" fillId="6" borderId="15" applyAlignment="1" pivotButton="0" quotePrefix="0" xfId="4">
      <alignment horizontal="left"/>
    </xf>
    <xf numFmtId="0" fontId="0" fillId="0" borderId="27" pivotButton="0" quotePrefix="0" xfId="0"/>
    <xf numFmtId="175" fontId="5" fillId="0" borderId="16" applyAlignment="1" pivotButton="0" quotePrefix="0" xfId="3">
      <alignment horizontal="center"/>
    </xf>
    <xf numFmtId="169" fontId="5" fillId="0" borderId="16" applyAlignment="1" pivotButton="0" quotePrefix="0" xfId="3">
      <alignment horizontal="center"/>
    </xf>
    <xf numFmtId="165" fontId="5" fillId="3" borderId="16" applyAlignment="1" pivotButton="0" quotePrefix="0" xfId="3">
      <alignment horizontal="center"/>
    </xf>
    <xf numFmtId="166" fontId="8" fillId="5" borderId="26" applyAlignment="1" pivotButton="0" quotePrefix="0" xfId="3">
      <alignment horizontal="center"/>
    </xf>
    <xf numFmtId="175" fontId="5" fillId="3" borderId="23" applyAlignment="1" pivotButton="0" quotePrefix="0" xfId="3">
      <alignment horizontal="center"/>
    </xf>
    <xf numFmtId="169" fontId="5" fillId="3" borderId="23" applyAlignment="1" pivotButton="0" quotePrefix="0" xfId="3">
      <alignment horizontal="center"/>
    </xf>
    <xf numFmtId="167" fontId="5" fillId="3" borderId="23" applyAlignment="1" pivotButton="0" quotePrefix="0" xfId="3">
      <alignment horizontal="center"/>
    </xf>
    <xf numFmtId="166" fontId="8" fillId="5" borderId="24" applyAlignment="1" pivotButton="0" quotePrefix="0" xfId="3">
      <alignment horizontal="center"/>
    </xf>
    <xf numFmtId="172" fontId="11" fillId="6" borderId="0" applyAlignment="1" pivotButton="0" quotePrefix="0" xfId="3">
      <alignment horizontal="left"/>
    </xf>
    <xf numFmtId="172" fontId="11" fillId="6" borderId="15" applyAlignment="1" pivotButton="0" quotePrefix="0" xfId="3">
      <alignment horizontal="left"/>
    </xf>
    <xf numFmtId="170" fontId="11" fillId="3" borderId="27" applyAlignment="1" applyProtection="1" pivotButton="0" quotePrefix="0" xfId="3">
      <alignment horizontal="center"/>
      <protection locked="0" hidden="0"/>
    </xf>
    <xf numFmtId="175" fontId="5" fillId="3" borderId="16" applyAlignment="1" pivotButton="0" quotePrefix="0" xfId="3">
      <alignment horizontal="center"/>
    </xf>
    <xf numFmtId="169" fontId="5" fillId="3" borderId="16" applyAlignment="1" pivotButton="0" quotePrefix="0" xfId="3">
      <alignment horizontal="center"/>
    </xf>
    <xf numFmtId="167" fontId="5" fillId="3" borderId="16" applyAlignment="1" pivotButton="0" quotePrefix="0" xfId="3">
      <alignment horizontal="center"/>
    </xf>
    <xf numFmtId="172" fontId="16" fillId="6" borderId="0" applyAlignment="1" pivotButton="0" quotePrefix="0" xfId="3">
      <alignment horizontal="left"/>
    </xf>
    <xf numFmtId="172" fontId="16" fillId="6" borderId="15" applyAlignment="1" pivotButton="0" quotePrefix="0" xfId="3">
      <alignment horizontal="left"/>
    </xf>
    <xf numFmtId="175" fontId="8" fillId="5" borderId="23" applyAlignment="1" pivotButton="0" quotePrefix="0" xfId="3">
      <alignment horizontal="center"/>
    </xf>
    <xf numFmtId="169" fontId="8" fillId="5" borderId="23" applyAlignment="1" pivotButton="0" quotePrefix="0" xfId="3">
      <alignment horizontal="center"/>
    </xf>
    <xf numFmtId="165" fontId="8" fillId="5" borderId="23" applyAlignment="1" pivotButton="0" quotePrefix="0" xfId="3">
      <alignment horizontal="center"/>
    </xf>
    <xf numFmtId="0" fontId="8" fillId="0" borderId="44" applyAlignment="1" pivotButton="0" quotePrefix="0" xfId="3">
      <alignment horizontal="center" vertical="center"/>
    </xf>
    <xf numFmtId="186" fontId="16" fillId="0" borderId="31" applyAlignment="1" pivotButton="0" quotePrefix="0" xfId="1">
      <alignment horizontal="center"/>
    </xf>
    <xf numFmtId="186" fontId="16" fillId="5" borderId="44" applyAlignment="1" pivotButton="0" quotePrefix="0" xfId="1">
      <alignment horizontal="center"/>
    </xf>
    <xf numFmtId="185" fontId="16" fillId="5" borderId="63" applyAlignment="1" pivotButton="0" quotePrefix="0" xfId="2">
      <alignment horizontal="center"/>
    </xf>
    <xf numFmtId="0" fontId="0" fillId="0" borderId="29" pivotButton="0" quotePrefix="0" xfId="0"/>
    <xf numFmtId="0" fontId="0" fillId="0" borderId="30" pivotButton="0" quotePrefix="0" xfId="0"/>
    <xf numFmtId="185" fontId="15" fillId="0" borderId="31" applyAlignment="1" pivotButton="0" quotePrefix="0" xfId="2">
      <alignment horizontal="center"/>
    </xf>
    <xf numFmtId="185" fontId="15" fillId="0" borderId="38" applyAlignment="1" pivotButton="0" quotePrefix="0" xfId="2">
      <alignment horizontal="center"/>
    </xf>
    <xf numFmtId="186" fontId="21" fillId="3" borderId="45" applyAlignment="1" pivotButton="0" quotePrefix="0" xfId="1">
      <alignment horizontal="center"/>
    </xf>
    <xf numFmtId="186" fontId="11" fillId="0" borderId="34" applyAlignment="1" pivotButton="0" quotePrefix="0" xfId="3">
      <alignment horizontal="center"/>
    </xf>
    <xf numFmtId="172" fontId="19" fillId="6" borderId="0" applyAlignment="1" pivotButton="0" quotePrefix="0" xfId="3">
      <alignment horizontal="center"/>
    </xf>
    <xf numFmtId="164" fontId="11" fillId="0" borderId="32" applyAlignment="1" pivotButton="0" quotePrefix="0" xfId="3">
      <alignment horizontal="center"/>
    </xf>
    <xf numFmtId="185" fontId="11" fillId="0" borderId="34" applyAlignment="1" pivotButton="0" quotePrefix="0" xfId="2">
      <alignment horizontal="center" vertical="center"/>
    </xf>
    <xf numFmtId="185" fontId="11" fillId="0" borderId="34" pivotButton="0" quotePrefix="0" xfId="2"/>
    <xf numFmtId="185" fontId="16" fillId="0" borderId="34" applyAlignment="1" pivotButton="0" quotePrefix="0" xfId="2">
      <alignment horizontal="center" vertical="center"/>
    </xf>
    <xf numFmtId="185" fontId="10" fillId="3" borderId="52" applyAlignment="1" pivotButton="0" quotePrefix="0" xfId="2">
      <alignment horizontal="center"/>
    </xf>
    <xf numFmtId="185" fontId="8" fillId="3" borderId="43" applyAlignment="1" pivotButton="0" quotePrefix="0" xfId="2">
      <alignment horizontal="center" vertical="center"/>
    </xf>
    <xf numFmtId="185" fontId="10" fillId="0" borderId="5" applyAlignment="1" pivotButton="0" quotePrefix="0" xfId="2">
      <alignment horizontal="center"/>
    </xf>
    <xf numFmtId="185" fontId="8" fillId="0" borderId="10" applyAlignment="1" pivotButton="0" quotePrefix="0" xfId="2">
      <alignment horizontal="center" vertical="center"/>
    </xf>
    <xf numFmtId="0" fontId="8" fillId="7" borderId="11" applyAlignment="1" pivotButton="0" quotePrefix="0" xfId="3">
      <alignment horizontal="center"/>
    </xf>
    <xf numFmtId="2" fontId="8" fillId="0" borderId="12" applyAlignment="1" pivotButton="0" quotePrefix="0" xfId="3">
      <alignment horizontal="center" vertical="center"/>
    </xf>
    <xf numFmtId="188" fontId="8" fillId="3" borderId="10" applyAlignment="1" applyProtection="1" pivotButton="0" quotePrefix="0" xfId="3">
      <alignment horizontal="center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178" fontId="8" fillId="0" borderId="11" applyAlignment="1" pivotButton="0" quotePrefix="0" xfId="3">
      <alignment horizontal="center"/>
    </xf>
    <xf numFmtId="178" fontId="8" fillId="5" borderId="11" applyAlignment="1" pivotButton="0" quotePrefix="0" xfId="3">
      <alignment horizontal="center"/>
    </xf>
    <xf numFmtId="0" fontId="0" fillId="0" borderId="18" pivotButton="0" quotePrefix="0" xfId="0"/>
    <xf numFmtId="179" fontId="8" fillId="0" borderId="11" applyAlignment="1" pivotButton="0" quotePrefix="0" xfId="3">
      <alignment horizontal="center"/>
    </xf>
    <xf numFmtId="180" fontId="8" fillId="5" borderId="11" applyAlignment="1" pivotButton="0" quotePrefix="0" xfId="3">
      <alignment horizontal="center"/>
    </xf>
    <xf numFmtId="181" fontId="8" fillId="0" borderId="11" applyAlignment="1" pivotButton="0" quotePrefix="0" xfId="3">
      <alignment horizontal="center"/>
    </xf>
    <xf numFmtId="182" fontId="8" fillId="5" borderId="11" applyAlignment="1" pivotButton="0" quotePrefix="0" xfId="3">
      <alignment horizontal="center"/>
    </xf>
    <xf numFmtId="0" fontId="8" fillId="7" borderId="23" applyAlignment="1" pivotButton="0" quotePrefix="0" xfId="3">
      <alignment horizontal="center"/>
    </xf>
    <xf numFmtId="181" fontId="8" fillId="7" borderId="11" applyAlignment="1" pivotButton="0" quotePrefix="0" xfId="3">
      <alignment horizontal="center"/>
    </xf>
    <xf numFmtId="179" fontId="5" fillId="0" borderId="11" applyAlignment="1" pivotButton="0" quotePrefix="0" xfId="3">
      <alignment horizontal="center"/>
    </xf>
    <xf numFmtId="187" fontId="8" fillId="3" borderId="42" applyAlignment="1" applyProtection="1" pivotButton="0" quotePrefix="0" xfId="3">
      <alignment horizontal="center" vertical="center"/>
      <protection locked="0" hidden="0"/>
    </xf>
    <xf numFmtId="183" fontId="5" fillId="0" borderId="11" pivotButton="0" quotePrefix="0" xfId="3"/>
    <xf numFmtId="187" fontId="8" fillId="3" borderId="46" applyAlignment="1" applyProtection="1" pivotButton="0" quotePrefix="0" xfId="3">
      <alignment horizontal="center" vertical="center"/>
      <protection locked="0" hidden="0"/>
    </xf>
    <xf numFmtId="184" fontId="5" fillId="0" borderId="11" applyAlignment="1" pivotButton="0" quotePrefix="0" xfId="4">
      <alignment horizontal="center"/>
    </xf>
    <xf numFmtId="164" fontId="5" fillId="0" borderId="11" applyAlignment="1" pivotButton="0" quotePrefix="0" xfId="3">
      <alignment horizontal="center"/>
    </xf>
    <xf numFmtId="172" fontId="5" fillId="0" borderId="11" applyAlignment="1" pivotButton="0" quotePrefix="0" xfId="3">
      <alignment horizontal="center"/>
    </xf>
    <xf numFmtId="187" fontId="8" fillId="3" borderId="47" applyAlignment="1" applyProtection="1" pivotButton="0" quotePrefix="0" xfId="3">
      <alignment horizontal="center" vertical="center"/>
      <protection locked="0" hidden="0"/>
    </xf>
    <xf numFmtId="172" fontId="5" fillId="0" borderId="12" applyAlignment="1" pivotButton="0" quotePrefix="0" xfId="3">
      <alignment horizontal="center"/>
    </xf>
    <xf numFmtId="0" fontId="5" fillId="0" borderId="12" applyAlignment="1" pivotButton="0" quotePrefix="0" xfId="3">
      <alignment horizontal="center" vertical="center" wrapText="1"/>
    </xf>
    <xf numFmtId="0" fontId="0" fillId="0" borderId="14" pivotButton="0" quotePrefix="0" xfId="0"/>
    <xf numFmtId="0" fontId="22" fillId="0" borderId="0" pivotButton="0" quotePrefix="0" xfId="0"/>
    <xf numFmtId="0" fontId="24" fillId="0" borderId="0" pivotButton="0" quotePrefix="0" xfId="0"/>
  </cellXfs>
  <cellStyles count="5">
    <cellStyle name="Normal" xfId="0" builtinId="0"/>
    <cellStyle name="Vírgula" xfId="1" builtinId="3"/>
    <cellStyle name="Moeda" xfId="2" builtinId="4"/>
    <cellStyle name="Normal 2" xfId="3"/>
    <cellStyle name="Porcentagem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E:\Documents%20and%20Settings\LGontijo\Meus%20documentos\Ufv\Laboratorio\Certificados\Concreto\Britador%20Sao%20Geraldo\Materiais%20%20Britador%20Sao%20Geraldo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b0f1cb72af64db54/TRABALHOS%20EM%20ANDAMENTO/ECONCRETO/Controle%20Estat&#237;stico%20V8%20-%20at.%2004-09-2018%20-%20vers&#227;o%20V5%20Econcreto.xlsm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julio/OneDrive/COMPARTILHADA/OneDrive-2019-07-29/setembro%202018/DPCON/MIX/c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Users/julio/OneDrive/CLIENTES/2019/ECONCRETO/2019/ECONCRETO%20-%20Resumo%20tra&#231;os%20TOPCON%2002-2019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imento"/>
      <sheetName val="Ent Areia Nat"/>
      <sheetName val="Areia Nat"/>
      <sheetName val="Ent Inch Areia"/>
      <sheetName val="Inch Areia"/>
      <sheetName val="Ent Areia Ind"/>
      <sheetName val="Areia Ind"/>
      <sheetName val="Ent Inch Areia Ind"/>
      <sheetName val="Inch Areia Ind"/>
      <sheetName val="Entrada Brita 1"/>
      <sheetName val="Brita 1"/>
      <sheetName val="Ent Areia Ind (2)"/>
      <sheetName val="Areia Ind (2)"/>
      <sheetName val="Tipos de cimento"/>
      <sheetName val="Fabricas &amp; Fabricantes de cimen"/>
      <sheetName val="Fabricantes de aditivo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se (2)"/>
      <sheetName val="base (3)"/>
      <sheetName val="base (Econcreto)"/>
      <sheetName val="Planilha3"/>
      <sheetName val="TD Detalhada"/>
      <sheetName val="TD Geral"/>
      <sheetName val="NBR - Geral"/>
      <sheetName val="Sd Motorista e CB"/>
      <sheetName val="Apoio 1"/>
      <sheetName val="Apoio 2"/>
      <sheetName val="base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rt Here!"/>
      <sheetName val="Dashboard"/>
      <sheetName val="Planner"/>
      <sheetName val="Master Dat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IX AGREGADOS"/>
      <sheetName val="TESTE 1"/>
      <sheetName val="argamassa AAN (MAir701)"/>
      <sheetName val="argamassa AAN (Gethal)"/>
      <sheetName val="argamassa AAN AD"/>
      <sheetName val="CALC"/>
      <sheetName val="RESUMO traço cliente"/>
      <sheetName val="RESUMO"/>
      <sheetName val="GERAL"/>
      <sheetName val="FILTROS"/>
      <sheetName val="CONCRETO"/>
      <sheetName val="Planilha1"/>
      <sheetName val="BR150"/>
      <sheetName val="TRAÇO"/>
      <sheetName val="TRAÇO 2"/>
      <sheetName val="modelo Celso"/>
      <sheetName val="BR150 2"/>
      <sheetName val="BR150 (atual)"/>
      <sheetName val="26-06-2019"/>
      <sheetName val="PISO"/>
      <sheetName val="Planilha3"/>
      <sheetName val="PARÂMETROS"/>
      <sheetName val="TABELA"/>
      <sheetName val="Cadastro traços"/>
      <sheetName val="B01"/>
      <sheetName val="B0"/>
      <sheetName val="B1"/>
      <sheetName val="PISO (2)"/>
      <sheetName val="New - Table"/>
      <sheetName val="MATRIZ - A"/>
      <sheetName val="MATRIZ - WORD"/>
      <sheetName val="Togo"/>
      <sheetName val="HOLCIM 108"/>
      <sheetName val="Planilha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1" tint="0.499984740745262"/>
    <outlinePr summaryBelow="1" summaryRight="1"/>
    <pageSetUpPr fitToPage="1"/>
  </sheetPr>
  <dimension ref="A1:N84"/>
  <sheetViews>
    <sheetView showGridLines="0" tabSelected="1" topLeftCell="A20" zoomScaleNormal="100" zoomScaleSheetLayoutView="100" workbookViewId="0">
      <selection activeCell="D30" sqref="D30"/>
    </sheetView>
  </sheetViews>
  <sheetFormatPr baseColWidth="8" defaultRowHeight="15.75" customHeight="1"/>
  <cols>
    <col width="10" customWidth="1" style="1" min="1" max="1"/>
    <col width="11.7109375" bestFit="1" customWidth="1" style="1" min="2" max="2"/>
    <col width="14.42578125" customWidth="1" style="1" min="3" max="3"/>
    <col width="13.140625" customWidth="1" style="1" min="4" max="4"/>
    <col width="12.140625" bestFit="1" customWidth="1" style="1" min="5" max="5"/>
    <col width="13.140625" customWidth="1" style="1" min="6" max="6"/>
    <col width="17.42578125" bestFit="1" customWidth="1" style="1" min="7" max="7"/>
    <col width="13.7109375" customWidth="1" style="1" min="8" max="8"/>
    <col width="14.7109375" bestFit="1" customWidth="1" style="1" min="9" max="9"/>
    <col width="18.42578125" bestFit="1" customWidth="1" style="1" min="10" max="10"/>
    <col width="15.140625" bestFit="1" customWidth="1" style="1" min="11" max="11"/>
    <col width="10" customWidth="1" style="1" min="12" max="12"/>
    <col width="9.140625" customWidth="1" style="1" min="13" max="16384"/>
  </cols>
  <sheetData>
    <row r="1" ht="23.25" customHeight="1">
      <c r="A1" s="251" t="inlineStr">
        <is>
          <t>ESTUDO DE DOSAGEM EM CONCRETO</t>
        </is>
      </c>
      <c r="B1" s="252" t="n"/>
      <c r="C1" s="252" t="n"/>
      <c r="D1" s="252" t="n"/>
      <c r="E1" s="252" t="n"/>
      <c r="F1" s="252" t="n"/>
      <c r="G1" s="252" t="n"/>
      <c r="H1" s="252" t="n"/>
      <c r="I1" s="252" t="n"/>
      <c r="J1" s="252" t="n"/>
      <c r="K1" s="253" t="n"/>
    </row>
    <row r="2" ht="15.75" customHeight="1">
      <c r="A2" s="254" t="inlineStr">
        <is>
          <t>Descrição do estudo</t>
        </is>
      </c>
      <c r="B2" s="255" t="n"/>
      <c r="C2" s="255" t="n"/>
      <c r="D2" s="255" t="n"/>
      <c r="E2" s="255" t="n"/>
      <c r="F2" s="255" t="n"/>
      <c r="G2" s="255" t="n"/>
      <c r="H2" s="255" t="n"/>
      <c r="I2" s="255" t="n"/>
      <c r="J2" s="255" t="n"/>
      <c r="K2" s="256" t="n"/>
    </row>
    <row r="3" ht="15.75" customHeight="1">
      <c r="A3" s="245" t="inlineStr">
        <is>
          <t>MODELO</t>
        </is>
      </c>
      <c r="B3" s="257" t="n"/>
      <c r="C3" s="257" t="n"/>
      <c r="D3" s="258" t="n"/>
      <c r="E3" s="2" t="inlineStr">
        <is>
          <t>Objetivo:</t>
        </is>
      </c>
      <c r="F3" s="247" t="inlineStr">
        <is>
          <t>ESTUDO DE TRAÇO CAA</t>
        </is>
      </c>
      <c r="G3" s="259" t="n"/>
      <c r="H3" s="260" t="n"/>
      <c r="I3" s="3" t="inlineStr">
        <is>
          <t>Traço nº:</t>
        </is>
      </c>
      <c r="J3" s="261" t="n"/>
      <c r="K3" s="260" t="n"/>
    </row>
    <row r="4" ht="15.75" customHeight="1">
      <c r="A4" s="155" t="inlineStr">
        <is>
          <t>fck</t>
        </is>
      </c>
      <c r="B4" s="156" t="n">
        <v>40</v>
      </c>
      <c r="C4" s="157" t="inlineStr">
        <is>
          <t>SLUMP</t>
        </is>
      </c>
      <c r="D4" s="156" t="n">
        <v>750</v>
      </c>
      <c r="E4" s="157" t="inlineStr">
        <is>
          <t>Brita</t>
        </is>
      </c>
      <c r="F4" s="156" t="inlineStr">
        <is>
          <t>12mm</t>
        </is>
      </c>
      <c r="G4" s="202" t="inlineStr">
        <is>
          <t>Cimento</t>
        </is>
      </c>
      <c r="H4" s="156" t="inlineStr">
        <is>
          <t>CPV</t>
        </is>
      </c>
      <c r="I4" s="158" t="inlineStr">
        <is>
          <t>Data:</t>
        </is>
      </c>
      <c r="J4" s="237" t="n">
        <v>45706</v>
      </c>
      <c r="K4" s="258" t="n"/>
    </row>
    <row r="5" ht="3" customHeight="1">
      <c r="A5" s="159" t="n"/>
      <c r="B5" s="160" t="n"/>
      <c r="C5" s="161" t="n"/>
      <c r="D5" s="161" t="n"/>
      <c r="E5" s="161" t="n"/>
      <c r="F5" s="161" t="n"/>
      <c r="G5" s="161" t="n"/>
      <c r="H5" s="161" t="n"/>
      <c r="I5" s="161" t="n"/>
      <c r="J5" s="161" t="n"/>
      <c r="K5" s="162" t="n"/>
    </row>
    <row r="6" ht="15.75" customHeight="1">
      <c r="A6" s="236" t="inlineStr">
        <is>
          <t>MCC</t>
        </is>
      </c>
      <c r="B6" s="262" t="n"/>
      <c r="C6" s="236" t="inlineStr">
        <is>
          <t>Fornecedor</t>
        </is>
      </c>
      <c r="D6" s="255" t="n"/>
      <c r="E6" s="262" t="n"/>
      <c r="F6" s="236" t="inlineStr">
        <is>
          <t>M. Esp. Abs</t>
        </is>
      </c>
      <c r="G6" s="195" t="inlineStr">
        <is>
          <t>Info</t>
        </is>
      </c>
      <c r="H6" s="195" t="inlineStr">
        <is>
          <t>Fornecedor</t>
        </is>
      </c>
      <c r="I6" s="236" t="inlineStr">
        <is>
          <t>R$ unt</t>
        </is>
      </c>
      <c r="J6" s="236" t="inlineStr">
        <is>
          <t>Frete</t>
        </is>
      </c>
      <c r="K6" s="236" t="inlineStr">
        <is>
          <t>R$</t>
        </is>
      </c>
    </row>
    <row r="7" ht="15.75" customHeight="1">
      <c r="A7" s="231" t="inlineStr">
        <is>
          <t>Cimento</t>
        </is>
      </c>
      <c r="B7" s="262" t="n"/>
      <c r="C7" s="232" t="inlineStr">
        <is>
          <t>CPV  (Barroso)  - CSN</t>
        </is>
      </c>
      <c r="D7" s="259" t="n"/>
      <c r="E7" s="260" t="n"/>
      <c r="F7" s="263" t="n">
        <v>3.1</v>
      </c>
      <c r="G7" s="264" t="n"/>
      <c r="H7" s="264" t="n"/>
      <c r="I7" s="265" t="n">
        <v>440</v>
      </c>
      <c r="J7" s="266" t="n"/>
      <c r="K7" s="266">
        <f>SUM(I7:J7)</f>
        <v/>
      </c>
    </row>
    <row r="8" ht="15.75" customHeight="1">
      <c r="A8" s="231" t="inlineStr">
        <is>
          <t>Ag. Miúdo 1</t>
        </is>
      </c>
      <c r="B8" s="262" t="n"/>
      <c r="C8" s="232" t="inlineStr">
        <is>
          <t>AREIA QUARTZO</t>
        </is>
      </c>
      <c r="D8" s="259" t="n"/>
      <c r="E8" s="260" t="n"/>
      <c r="F8" s="263" t="n">
        <v>2.65</v>
      </c>
      <c r="G8" s="264" t="inlineStr">
        <is>
          <t>MF 1,2</t>
        </is>
      </c>
      <c r="H8" s="264" t="n"/>
      <c r="I8" s="265" t="n">
        <v>73</v>
      </c>
      <c r="J8" s="266" t="n"/>
      <c r="K8" s="266">
        <f>SUM(I8:J8)</f>
        <v/>
      </c>
    </row>
    <row r="9" ht="15.75" customHeight="1">
      <c r="A9" s="231" t="inlineStr">
        <is>
          <t>Ag. Miúdo 2</t>
        </is>
      </c>
      <c r="B9" s="262" t="n"/>
      <c r="C9" s="232" t="inlineStr">
        <is>
          <t>AREIA ARTIFICIAL</t>
        </is>
      </c>
      <c r="D9" s="259" t="n"/>
      <c r="E9" s="260" t="n"/>
      <c r="F9" s="263" t="n">
        <v>2.72</v>
      </c>
      <c r="G9" s="264" t="n">
        <v>2.85</v>
      </c>
      <c r="H9" s="264" t="n"/>
      <c r="I9" s="265" t="n">
        <v>56.05</v>
      </c>
      <c r="J9" s="266" t="n"/>
      <c r="K9" s="266">
        <f>SUM(I9:J9)</f>
        <v/>
      </c>
    </row>
    <row r="10" ht="15.75" customHeight="1">
      <c r="A10" s="231" t="inlineStr">
        <is>
          <t>Ag. Graúdo 1</t>
        </is>
      </c>
      <c r="B10" s="262" t="n"/>
      <c r="C10" s="232" t="inlineStr">
        <is>
          <t>BRITA 0</t>
        </is>
      </c>
      <c r="D10" s="259" t="n"/>
      <c r="E10" s="260" t="n"/>
      <c r="F10" s="263" t="n">
        <v>2.72</v>
      </c>
      <c r="G10" s="264" t="inlineStr">
        <is>
          <t>12,5mm</t>
        </is>
      </c>
      <c r="H10" s="264" t="n"/>
      <c r="I10" s="265" t="n">
        <v>53.91</v>
      </c>
      <c r="J10" s="266" t="n"/>
      <c r="K10" s="266">
        <f>SUM(I10:J10)</f>
        <v/>
      </c>
    </row>
    <row r="11" ht="15.75" customHeight="1">
      <c r="A11" s="231" t="inlineStr">
        <is>
          <t>Ag. Graúdo 2</t>
        </is>
      </c>
      <c r="B11" s="262" t="n"/>
      <c r="C11" s="232" t="inlineStr">
        <is>
          <t>BRITA 1</t>
        </is>
      </c>
      <c r="D11" s="259" t="n"/>
      <c r="E11" s="260" t="n"/>
      <c r="F11" s="263" t="n">
        <v>2.72</v>
      </c>
      <c r="G11" s="264" t="inlineStr">
        <is>
          <t>19mm</t>
        </is>
      </c>
      <c r="H11" s="264" t="n"/>
      <c r="I11" s="265" t="n">
        <v>47.51</v>
      </c>
      <c r="J11" s="266" t="n"/>
      <c r="K11" s="266">
        <f>SUM(I11:J11)</f>
        <v/>
      </c>
    </row>
    <row r="12" ht="15.75" customHeight="1">
      <c r="A12" s="231" t="inlineStr">
        <is>
          <t>Aditivo 1</t>
        </is>
      </c>
      <c r="B12" s="262" t="n"/>
      <c r="C12" s="232" t="inlineStr">
        <is>
          <t xml:space="preserve">CQ FLOW </t>
        </is>
      </c>
      <c r="D12" s="259" t="n"/>
      <c r="E12" s="260" t="n"/>
      <c r="F12" s="263" t="n">
        <v>1.1</v>
      </c>
      <c r="G12" s="264" t="inlineStr">
        <is>
          <t>Superplastificante</t>
        </is>
      </c>
      <c r="H12" s="264" t="n"/>
      <c r="I12" s="267" t="n">
        <v>12</v>
      </c>
      <c r="J12" s="266" t="n"/>
      <c r="K12" s="266">
        <f>SUM(I12:J12)</f>
        <v/>
      </c>
    </row>
    <row r="13" ht="15.75" customHeight="1">
      <c r="A13" s="231" t="inlineStr">
        <is>
          <t>Aditivo 2</t>
        </is>
      </c>
      <c r="B13" s="262" t="n"/>
      <c r="C13" s="232" t="inlineStr">
        <is>
          <t>Modificador de viscosidade</t>
        </is>
      </c>
      <c r="D13" s="259" t="n"/>
      <c r="E13" s="260" t="n"/>
      <c r="F13" s="263" t="n">
        <v>1.06</v>
      </c>
      <c r="G13" s="264" t="inlineStr">
        <is>
          <t>MV</t>
        </is>
      </c>
      <c r="H13" s="264" t="n"/>
      <c r="I13" s="268" t="n">
        <v>6.5</v>
      </c>
      <c r="J13" s="266" t="n"/>
      <c r="K13" s="266">
        <f>SUM(I13:J13)</f>
        <v/>
      </c>
    </row>
    <row r="14" ht="15.75" customHeight="1">
      <c r="A14" s="231" t="inlineStr">
        <is>
          <t>Adição 1</t>
        </is>
      </c>
      <c r="B14" s="262" t="n"/>
      <c r="C14" s="232" t="inlineStr">
        <is>
          <t>Micro sílica</t>
        </is>
      </c>
      <c r="D14" s="259" t="n"/>
      <c r="E14" s="260" t="n"/>
      <c r="F14" s="269" t="n">
        <v>2.2</v>
      </c>
      <c r="G14" s="264" t="inlineStr">
        <is>
          <t>Teor Sólidos:</t>
        </is>
      </c>
      <c r="H14" s="270" t="n">
        <v>1</v>
      </c>
      <c r="I14" s="271" t="n">
        <v>1.35</v>
      </c>
      <c r="J14" s="266" t="n"/>
      <c r="K14" s="266">
        <f>SUM(I14:J14)</f>
        <v/>
      </c>
    </row>
    <row r="15" ht="15.75" customHeight="1">
      <c r="A15" s="231" t="inlineStr">
        <is>
          <t>Adição 2</t>
        </is>
      </c>
      <c r="B15" s="262" t="n"/>
      <c r="C15" s="232" t="n"/>
      <c r="D15" s="259" t="n"/>
      <c r="E15" s="260" t="n"/>
      <c r="F15" s="263" t="n">
        <v>1</v>
      </c>
      <c r="G15" s="264" t="n"/>
      <c r="H15" s="264" t="n"/>
      <c r="I15" s="268" t="n"/>
      <c r="J15" s="266" t="n"/>
      <c r="K15" s="266">
        <f>SUM(I15:J15)</f>
        <v/>
      </c>
    </row>
    <row r="16" ht="15.75" customHeight="1">
      <c r="A16" s="231" t="inlineStr">
        <is>
          <t>Suplementar 1</t>
        </is>
      </c>
      <c r="B16" s="262" t="n"/>
      <c r="C16" s="232" t="inlineStr">
        <is>
          <t>Micro fibra de vidro 12mm</t>
        </is>
      </c>
      <c r="D16" s="259" t="n"/>
      <c r="E16" s="260" t="n"/>
      <c r="F16" s="263" t="n">
        <v>2.55</v>
      </c>
      <c r="G16" s="264" t="inlineStr">
        <is>
          <t>Vidro</t>
        </is>
      </c>
      <c r="H16" s="264" t="n"/>
      <c r="I16" s="268" t="n">
        <v>25</v>
      </c>
      <c r="J16" s="266" t="n"/>
      <c r="K16" s="266">
        <f>SUM(I16:J16)</f>
        <v/>
      </c>
    </row>
    <row r="17" ht="15.75" customHeight="1">
      <c r="A17" s="231" t="inlineStr">
        <is>
          <t>Suplementar 2</t>
        </is>
      </c>
      <c r="B17" s="262" t="n"/>
      <c r="C17" s="232" t="inlineStr">
        <is>
          <t>Óxido de ferro</t>
        </is>
      </c>
      <c r="D17" s="259" t="n"/>
      <c r="E17" s="260" t="n"/>
      <c r="F17" s="263" t="n">
        <v>2.2</v>
      </c>
      <c r="G17" s="264" t="inlineStr">
        <is>
          <t>Pigmento</t>
        </is>
      </c>
      <c r="H17" s="264" t="n"/>
      <c r="I17" s="265">
        <f>867/75</f>
        <v/>
      </c>
      <c r="J17" s="266" t="n"/>
      <c r="K17" s="266">
        <f>SUM(I17:J17)</f>
        <v/>
      </c>
    </row>
    <row r="18" ht="3" customHeight="1">
      <c r="A18" s="85" t="n"/>
      <c r="B18" s="150" t="n"/>
      <c r="C18" s="150" t="n"/>
      <c r="D18" s="150" t="n"/>
      <c r="E18" s="150" t="n"/>
      <c r="F18" s="86" t="n"/>
      <c r="G18" s="151" t="n"/>
      <c r="H18" s="152" t="n"/>
      <c r="I18" s="86" t="n"/>
      <c r="J18" s="272" t="n"/>
      <c r="K18" s="154" t="n"/>
    </row>
    <row r="19" ht="15.75" customHeight="1">
      <c r="A19" s="273" t="inlineStr">
        <is>
          <t>Parâmetros do traço de concreto</t>
        </is>
      </c>
      <c r="B19" s="274" t="n"/>
      <c r="C19" s="274" t="n"/>
      <c r="D19" s="274" t="n"/>
      <c r="E19" s="274" t="n"/>
      <c r="F19" s="274" t="n"/>
      <c r="G19" s="274" t="n"/>
      <c r="H19" s="274" t="n"/>
      <c r="I19" s="274" t="n"/>
      <c r="J19" s="274" t="n"/>
      <c r="K19" s="275" t="n"/>
      <c r="L19" s="13" t="n"/>
    </row>
    <row r="20" ht="15.75" customHeight="1">
      <c r="A20" s="14" t="inlineStr">
        <is>
          <t>Proporções</t>
        </is>
      </c>
      <c r="B20" s="276" t="n"/>
      <c r="C20" s="276" t="n"/>
      <c r="D20" s="277" t="n">
        <v>1000</v>
      </c>
      <c r="E20" s="278" t="inlineStr">
        <is>
          <t>COMPOSIÇÃO DO TRAÇO M³</t>
        </is>
      </c>
      <c r="F20" s="255" t="n"/>
      <c r="G20" s="255" t="n"/>
      <c r="H20" s="255" t="n"/>
      <c r="I20" s="255" t="n"/>
      <c r="J20" s="255" t="n"/>
      <c r="K20" s="256" t="n"/>
    </row>
    <row r="21" ht="15.75" customHeight="1">
      <c r="A21" s="17" t="inlineStr">
        <is>
          <t>Ag. Miúdo 1:</t>
        </is>
      </c>
      <c r="B21" s="279" t="n">
        <v>0.7</v>
      </c>
      <c r="C21" s="19" t="inlineStr">
        <is>
          <t>Ag. Miudo 2:</t>
        </is>
      </c>
      <c r="D21" s="280">
        <f>1-B21</f>
        <v/>
      </c>
      <c r="E21" s="226" t="inlineStr">
        <is>
          <t>MCC</t>
        </is>
      </c>
      <c r="F21" s="281" t="n"/>
      <c r="G21" s="226" t="inlineStr">
        <is>
          <t>Traço Unitário</t>
        </is>
      </c>
      <c r="H21" s="226" t="inlineStr">
        <is>
          <t>Traço Massa</t>
        </is>
      </c>
      <c r="I21" s="226" t="inlineStr">
        <is>
          <t>Traço Volume</t>
        </is>
      </c>
      <c r="J21" s="226" t="inlineStr">
        <is>
          <t>Custo UNT</t>
        </is>
      </c>
      <c r="K21" s="282" t="inlineStr">
        <is>
          <t>Custo/m³</t>
        </is>
      </c>
    </row>
    <row r="22" ht="15.75" customHeight="1">
      <c r="A22" s="17" t="inlineStr">
        <is>
          <t>Ag. Graúdo 1:</t>
        </is>
      </c>
      <c r="B22" s="283" t="n">
        <v>1</v>
      </c>
      <c r="C22" s="19" t="inlineStr">
        <is>
          <t>Ag. Graúdo 2:</t>
        </is>
      </c>
      <c r="D22" s="284">
        <f>1-B22</f>
        <v/>
      </c>
      <c r="E22" s="285" t="n"/>
      <c r="F22" s="286" t="n"/>
      <c r="G22" s="287" t="n"/>
      <c r="H22" s="287" t="n"/>
      <c r="I22" s="287" t="n"/>
      <c r="J22" s="287" t="n"/>
      <c r="K22" s="288" t="n"/>
    </row>
    <row r="23" ht="15.75" customHeight="1">
      <c r="A23" s="23" t="inlineStr">
        <is>
          <t>M. Especifica do mix de agregados</t>
        </is>
      </c>
      <c r="B23" s="24" t="n"/>
      <c r="C23" s="24" t="n"/>
      <c r="D23" s="25" t="n"/>
      <c r="E23" s="188">
        <f>C7</f>
        <v/>
      </c>
      <c r="F23" s="262" t="n"/>
      <c r="G23" s="26" t="n">
        <v>1</v>
      </c>
      <c r="H23" s="289">
        <f>D27*(100%-$L$19)</f>
        <v/>
      </c>
      <c r="I23" s="290">
        <f>H23/F7</f>
        <v/>
      </c>
      <c r="J23" s="265">
        <f>K7</f>
        <v/>
      </c>
      <c r="K23" s="291">
        <f>J23/1000*H23</f>
        <v/>
      </c>
    </row>
    <row r="24" ht="15.75" customHeight="1">
      <c r="A24" s="17" t="inlineStr">
        <is>
          <t>Ag. Miúdo:</t>
        </is>
      </c>
      <c r="B24" s="30">
        <f>F8*B21+F9*D21</f>
        <v/>
      </c>
      <c r="C24" s="19" t="inlineStr">
        <is>
          <t>Ag. Graúdo;</t>
        </is>
      </c>
      <c r="D24" s="292">
        <f>F10*B22+F11*D22</f>
        <v/>
      </c>
      <c r="E24" s="188">
        <f>C8</f>
        <v/>
      </c>
      <c r="F24" s="262" t="n"/>
      <c r="G24" s="32">
        <f>C39</f>
        <v/>
      </c>
      <c r="H24" s="289">
        <f>G24*($D$27+$D$28+$D$29)*(100%-L19)</f>
        <v/>
      </c>
      <c r="I24" s="290">
        <f>H24/F8</f>
        <v/>
      </c>
      <c r="J24" s="265">
        <f>K8</f>
        <v/>
      </c>
      <c r="K24" s="291">
        <f>J24/1000*H24</f>
        <v/>
      </c>
      <c r="N24" s="1">
        <f>D20-((D26*D20)+(B33+D33))</f>
        <v/>
      </c>
    </row>
    <row r="25" ht="15.75" customHeight="1">
      <c r="A25" s="23" t="inlineStr">
        <is>
          <t>Teor de argamassa seca:</t>
        </is>
      </c>
      <c r="B25" s="24" t="n"/>
      <c r="C25" s="24" t="n"/>
      <c r="D25" s="293" t="n">
        <v>0.6</v>
      </c>
      <c r="E25" s="188">
        <f>C9</f>
        <v/>
      </c>
      <c r="F25" s="262" t="n"/>
      <c r="G25" s="32">
        <f>C40</f>
        <v/>
      </c>
      <c r="H25" s="289">
        <f>G25*($D$27+$D$28+$D$29)*(100%-L19)</f>
        <v/>
      </c>
      <c r="I25" s="290">
        <f>H25/F9</f>
        <v/>
      </c>
      <c r="J25" s="265">
        <f>K9</f>
        <v/>
      </c>
      <c r="K25" s="291">
        <f>J25/1000*H25</f>
        <v/>
      </c>
    </row>
    <row r="26" ht="15.75" customHeight="1">
      <c r="A26" s="23" t="inlineStr">
        <is>
          <t>Teor de ar incorporado:</t>
        </is>
      </c>
      <c r="B26" s="24" t="n"/>
      <c r="C26" s="24" t="n"/>
      <c r="D26" s="34" t="n">
        <v>0.02</v>
      </c>
      <c r="E26" s="188">
        <f>C10</f>
        <v/>
      </c>
      <c r="F26" s="262" t="n"/>
      <c r="G26" s="32">
        <f>C42</f>
        <v/>
      </c>
      <c r="H26" s="289">
        <f>G26*($D$27+$D$28+$D$29)*(100%-L19)</f>
        <v/>
      </c>
      <c r="I26" s="290">
        <f>H26/F10</f>
        <v/>
      </c>
      <c r="J26" s="265">
        <f>K10</f>
        <v/>
      </c>
      <c r="K26" s="291">
        <f>J26/1000*H26</f>
        <v/>
      </c>
    </row>
    <row r="27" ht="15.75" customHeight="1">
      <c r="A27" s="23" t="inlineStr">
        <is>
          <t>A/C:</t>
        </is>
      </c>
      <c r="B27" s="294" t="n">
        <v>0.5</v>
      </c>
      <c r="C27" s="36" t="inlineStr">
        <is>
          <t>Cons. Cimento:</t>
        </is>
      </c>
      <c r="D27" s="295" t="n">
        <v>385</v>
      </c>
      <c r="E27" s="188">
        <f>C11</f>
        <v/>
      </c>
      <c r="F27" s="262" t="n"/>
      <c r="G27" s="32">
        <f>C43</f>
        <v/>
      </c>
      <c r="H27" s="289">
        <f>G27*($D$27+$D$28+$D$29)*(100%-L19)</f>
        <v/>
      </c>
      <c r="I27" s="290">
        <f>H27/F11</f>
        <v/>
      </c>
      <c r="J27" s="265">
        <f>K11</f>
        <v/>
      </c>
      <c r="K27" s="291">
        <f>J27/1000*H27</f>
        <v/>
      </c>
    </row>
    <row r="28" ht="15.75" customHeight="1">
      <c r="A28" s="23" t="inlineStr">
        <is>
          <t>A/C calc.:</t>
        </is>
      </c>
      <c r="B28" s="296" t="n">
        <v>0</v>
      </c>
      <c r="C28" s="36" t="inlineStr">
        <is>
          <t>Cons. Adição 1:</t>
        </is>
      </c>
      <c r="D28" s="297" t="n">
        <v>27</v>
      </c>
      <c r="E28" s="188" t="inlineStr">
        <is>
          <t>Água</t>
        </is>
      </c>
      <c r="F28" s="262" t="n"/>
      <c r="G28" s="32">
        <f>B27</f>
        <v/>
      </c>
      <c r="H28" s="289">
        <f>G28*($D$27+$D$28+$D$29)*(100%-L19)</f>
        <v/>
      </c>
      <c r="I28" s="290">
        <f>H28</f>
        <v/>
      </c>
      <c r="J28" s="265" t="n">
        <v>1</v>
      </c>
      <c r="K28" s="291">
        <f>J28/1000*H28</f>
        <v/>
      </c>
    </row>
    <row r="29" ht="15.75" customHeight="1">
      <c r="A29" s="23" t="inlineStr">
        <is>
          <t>Água:</t>
        </is>
      </c>
      <c r="B29" s="298">
        <f>B27*(D27+D28+D29)</f>
        <v/>
      </c>
      <c r="C29" s="36" t="inlineStr">
        <is>
          <t>Cons. Adição 2:</t>
        </is>
      </c>
      <c r="D29" s="295" t="n">
        <v>0</v>
      </c>
      <c r="E29" s="188">
        <f>C12</f>
        <v/>
      </c>
      <c r="F29" s="262" t="n"/>
      <c r="G29" s="41">
        <f>B32</f>
        <v/>
      </c>
      <c r="H29" s="299">
        <f>G29*($D$27+$D$28+$D$29)*(100%-L19)</f>
        <v/>
      </c>
      <c r="I29" s="290">
        <f>H29/F12</f>
        <v/>
      </c>
      <c r="J29" s="265">
        <f>K12</f>
        <v/>
      </c>
      <c r="K29" s="291">
        <f>J29*H29</f>
        <v/>
      </c>
    </row>
    <row r="30" ht="15.75" customHeight="1">
      <c r="A30" s="23" t="inlineStr">
        <is>
          <t>Água calc.:</t>
        </is>
      </c>
      <c r="B30" s="300" t="n">
        <v>0</v>
      </c>
      <c r="C30" s="36" t="inlineStr">
        <is>
          <t>CC. Estimado:</t>
        </is>
      </c>
      <c r="D30" s="301" t="n">
        <v>0</v>
      </c>
      <c r="E30" s="188">
        <f>C13</f>
        <v/>
      </c>
      <c r="F30" s="262" t="n"/>
      <c r="G30" s="41">
        <f>D32</f>
        <v/>
      </c>
      <c r="H30" s="299">
        <f>IF(G30&gt;0,G30*$H$23*(100%-L19),G30*$H$23*100%)</f>
        <v/>
      </c>
      <c r="I30" s="290">
        <f>H30/F14</f>
        <v/>
      </c>
      <c r="J30" s="265">
        <f>K13</f>
        <v/>
      </c>
      <c r="K30" s="291">
        <f>J30*H30</f>
        <v/>
      </c>
    </row>
    <row r="31" ht="15.75" customHeight="1">
      <c r="A31" s="23" t="inlineStr">
        <is>
          <t>Dosagem de aditivo:</t>
        </is>
      </c>
      <c r="B31" s="298" t="n"/>
      <c r="C31" s="45" t="n"/>
      <c r="D31" s="46" t="n"/>
      <c r="E31" s="188">
        <f>C14</f>
        <v/>
      </c>
      <c r="F31" s="262" t="n"/>
      <c r="G31" s="41">
        <f>D28/D27</f>
        <v/>
      </c>
      <c r="H31" s="299">
        <f>G31*D27</f>
        <v/>
      </c>
      <c r="I31" s="290">
        <f>H31/F14</f>
        <v/>
      </c>
      <c r="J31" s="265">
        <f>K14</f>
        <v/>
      </c>
      <c r="K31" s="291">
        <f>J31/1000*H31</f>
        <v/>
      </c>
      <c r="L31" s="47" t="n"/>
    </row>
    <row r="32" ht="15.75" customFormat="1" customHeight="1" s="47">
      <c r="A32" s="17" t="inlineStr">
        <is>
          <t>Aditivo 1:</t>
        </is>
      </c>
      <c r="B32" s="302" t="n">
        <v>0.01</v>
      </c>
      <c r="C32" s="19" t="inlineStr">
        <is>
          <t>Aditivo 2:</t>
        </is>
      </c>
      <c r="D32" s="49" t="n">
        <v>0.001</v>
      </c>
      <c r="E32" s="188">
        <f>C15</f>
        <v/>
      </c>
      <c r="F32" s="262" t="n"/>
      <c r="G32" s="41">
        <f>H32/H23</f>
        <v/>
      </c>
      <c r="H32" s="299">
        <f>D29*(100%-L19)</f>
        <v/>
      </c>
      <c r="I32" s="290">
        <f>H32/F15</f>
        <v/>
      </c>
      <c r="J32" s="265">
        <f>K15</f>
        <v/>
      </c>
      <c r="K32" s="291">
        <f>J32/1000*H32</f>
        <v/>
      </c>
    </row>
    <row r="33" ht="15.75" customFormat="1" customHeight="1" s="47" thickBot="1">
      <c r="A33" s="17" t="inlineStr">
        <is>
          <t>Cons. Ad 1:</t>
        </is>
      </c>
      <c r="B33" s="303">
        <f>(SUM($D$27:$D$29)*B32/$F12)</f>
        <v/>
      </c>
      <c r="C33" s="19" t="inlineStr">
        <is>
          <t>Cons. Ad 2:</t>
        </is>
      </c>
      <c r="D33" s="304">
        <f>(SUM($D$27:$D$29)*D32/$F13)</f>
        <v/>
      </c>
      <c r="E33" s="219" t="inlineStr">
        <is>
          <t>Ar Inc.</t>
        </is>
      </c>
      <c r="F33" s="305" t="n"/>
      <c r="G33" s="52">
        <f>D26</f>
        <v/>
      </c>
      <c r="H33" s="306" t="n"/>
      <c r="I33" s="307">
        <f>H33/F16</f>
        <v/>
      </c>
      <c r="J33" s="308" t="n"/>
      <c r="K33" s="309">
        <f>J33*H33</f>
        <v/>
      </c>
    </row>
    <row r="34" ht="15.75" customHeight="1" thickTop="1">
      <c r="A34" s="23" t="inlineStr">
        <is>
          <t>Constante da equação:</t>
        </is>
      </c>
      <c r="B34" s="24" t="n"/>
      <c r="C34" s="24" t="n"/>
      <c r="D34" s="25" t="n"/>
      <c r="E34" s="218">
        <f>C16</f>
        <v/>
      </c>
      <c r="F34" s="286" t="n"/>
      <c r="G34" s="293" t="n">
        <v>0.001875</v>
      </c>
      <c r="H34" s="310">
        <f>G34*$H$23*(100%-L19)</f>
        <v/>
      </c>
      <c r="I34" s="311">
        <f>H34/L34</f>
        <v/>
      </c>
      <c r="J34" s="312">
        <f>I16</f>
        <v/>
      </c>
      <c r="K34" s="313">
        <f>J34*H34</f>
        <v/>
      </c>
      <c r="L34" s="60" t="n">
        <v>1</v>
      </c>
    </row>
    <row r="35" ht="15.75" customFormat="1" customHeight="1" s="47" thickBot="1">
      <c r="A35" s="61" t="inlineStr">
        <is>
          <t>k1=</t>
        </is>
      </c>
      <c r="B35" s="314">
        <f>(((D24*D25)+(B24*(1-D25)))/(B24*D24)*1000)/1000</f>
        <v/>
      </c>
      <c r="C35" s="30" t="inlineStr">
        <is>
          <t>k2=</t>
        </is>
      </c>
      <c r="D35" s="315">
        <f>(1/(F7))-(1-D25)*((1/B24)-(1/D24))</f>
        <v/>
      </c>
      <c r="E35" s="204">
        <f>C17</f>
        <v/>
      </c>
      <c r="F35" s="305" t="n"/>
      <c r="G35" s="316" t="n">
        <v>0.02</v>
      </c>
      <c r="H35" s="317">
        <f>G35*$H$23*(100%-L19)</f>
        <v/>
      </c>
      <c r="I35" s="318">
        <f>H35/L35</f>
        <v/>
      </c>
      <c r="J35" s="319">
        <f>I17</f>
        <v/>
      </c>
      <c r="K35" s="309">
        <f>J35*H35</f>
        <v/>
      </c>
      <c r="L35" s="68" t="n">
        <v>1</v>
      </c>
    </row>
    <row r="36" ht="15.75" customFormat="1" customHeight="1" s="47" thickTop="1">
      <c r="A36" s="69" t="inlineStr">
        <is>
          <t>m=</t>
        </is>
      </c>
      <c r="B36" s="320">
        <f>(((D20-(B33+D33+(D26*D20)))/(SUM(D27:D29))-D35-B27)/B35)</f>
        <v/>
      </c>
      <c r="C36" s="71" t="inlineStr">
        <is>
          <t>A%=</t>
        </is>
      </c>
      <c r="D36" s="321">
        <f>H28/SUM(H23:H27)*100</f>
        <v/>
      </c>
      <c r="E36" s="205" t="inlineStr">
        <is>
          <t>Total:</t>
        </is>
      </c>
      <c r="F36" s="286" t="n"/>
      <c r="G36" s="205" t="n"/>
      <c r="H36" s="322">
        <f>SUM(H23:H35)</f>
        <v/>
      </c>
      <c r="I36" s="323">
        <f>SUM(I23:I35)</f>
        <v/>
      </c>
      <c r="J36" s="324" t="n"/>
      <c r="K36" s="313">
        <f>SUM(K23:K35)</f>
        <v/>
      </c>
    </row>
    <row r="37" ht="15.75" customFormat="1" customHeight="1" s="47">
      <c r="A37" s="23" t="inlineStr">
        <is>
          <t>Relação agregados/aglomerante:</t>
        </is>
      </c>
      <c r="B37" s="314" t="n"/>
      <c r="C37" s="30" t="n"/>
      <c r="D37" s="315" t="n"/>
      <c r="E37" s="325" t="inlineStr">
        <is>
          <t>Observações:</t>
        </is>
      </c>
      <c r="F37" s="77" t="n"/>
      <c r="G37" s="326" t="n"/>
      <c r="H37" s="327" t="inlineStr">
        <is>
          <t>R$/litro</t>
        </is>
      </c>
      <c r="I37" s="134" t="inlineStr">
        <is>
          <t>Dist. Obra</t>
        </is>
      </c>
      <c r="J37" s="328" t="inlineStr">
        <is>
          <t>TAXA</t>
        </is>
      </c>
      <c r="K37" s="329" t="n"/>
    </row>
    <row r="38" ht="15.75" customFormat="1" customHeight="1" s="47">
      <c r="A38" s="17" t="inlineStr">
        <is>
          <t>Ag. Miúdos:</t>
        </is>
      </c>
      <c r="B38" s="320">
        <f>(D25*(1+B36))-1</f>
        <v/>
      </c>
      <c r="C38" s="30" t="n"/>
      <c r="D38" s="315" t="n"/>
      <c r="E38" s="330" t="n"/>
      <c r="F38" s="78" t="n"/>
      <c r="G38" s="331" t="n"/>
      <c r="H38" s="332" t="n">
        <v>4.1</v>
      </c>
      <c r="I38" s="333" t="n">
        <v>25.4</v>
      </c>
      <c r="J38" s="122" t="inlineStr">
        <is>
          <t>DIESEL</t>
        </is>
      </c>
      <c r="K38" s="334">
        <f>I38*2/1.6*H38/6.5</f>
        <v/>
      </c>
    </row>
    <row r="39" ht="15.75" customFormat="1" customHeight="1" s="47">
      <c r="A39" s="17" t="n"/>
      <c r="B39" s="80" t="inlineStr">
        <is>
          <t>Ag. Miúdo 1:</t>
        </is>
      </c>
      <c r="C39" s="335">
        <f>B38*B21</f>
        <v/>
      </c>
      <c r="D39" s="315" t="n"/>
      <c r="E39" s="82" t="n"/>
      <c r="F39" s="83" t="n"/>
      <c r="J39" s="336" t="inlineStr">
        <is>
          <t>IMPOSTOS</t>
        </is>
      </c>
      <c r="K39" s="337" t="n">
        <v>22</v>
      </c>
    </row>
    <row r="40" ht="15.75" customFormat="1" customHeight="1" s="47">
      <c r="A40" s="17" t="n"/>
      <c r="B40" s="80" t="inlineStr">
        <is>
          <t>Ag. Miúdo 2:</t>
        </is>
      </c>
      <c r="C40" s="335">
        <f>B38*D21</f>
        <v/>
      </c>
      <c r="D40" s="315" t="n"/>
      <c r="E40" s="82" t="n"/>
      <c r="F40" s="84" t="n"/>
      <c r="G40" s="83" t="n"/>
      <c r="H40" s="79" t="n"/>
      <c r="I40" s="78" t="n"/>
      <c r="J40" s="336" t="inlineStr">
        <is>
          <t>SERVIÇO</t>
        </is>
      </c>
      <c r="K40" s="337" t="n">
        <v>76</v>
      </c>
    </row>
    <row r="41" ht="15.75" customFormat="1" customHeight="1" s="47">
      <c r="A41" s="17" t="inlineStr">
        <is>
          <t>Ag. Graúdos:</t>
        </is>
      </c>
      <c r="B41" s="320">
        <f>B36-B38</f>
        <v/>
      </c>
      <c r="C41" s="30" t="n"/>
      <c r="D41" s="315" t="n"/>
      <c r="E41" s="82" t="n"/>
      <c r="F41" s="84" t="n"/>
      <c r="G41" s="83" t="n"/>
      <c r="H41" s="79" t="n"/>
      <c r="I41" s="78" t="n"/>
      <c r="J41" s="336" t="inlineStr">
        <is>
          <t>MARGEM</t>
        </is>
      </c>
      <c r="K41" s="337" t="n">
        <v>40</v>
      </c>
    </row>
    <row r="42" ht="15.75" customFormat="1" customHeight="1" s="47">
      <c r="A42" s="61" t="n"/>
      <c r="B42" s="80" t="inlineStr">
        <is>
          <t>Ag. graúdo 1:</t>
        </is>
      </c>
      <c r="C42" s="335">
        <f>B41*B22</f>
        <v/>
      </c>
      <c r="D42" s="315" t="n"/>
      <c r="E42" s="82" t="n"/>
      <c r="F42" s="78" t="n"/>
      <c r="G42" s="83" t="n"/>
      <c r="H42" s="79" t="n"/>
      <c r="I42" s="78" t="n"/>
      <c r="J42" s="336" t="inlineStr">
        <is>
          <t>OUTROS</t>
        </is>
      </c>
      <c r="K42" s="338" t="n">
        <v>8</v>
      </c>
    </row>
    <row r="43" ht="15.75" customFormat="1" customHeight="1" s="47">
      <c r="A43" s="61" t="n"/>
      <c r="B43" s="80" t="inlineStr">
        <is>
          <t>Ag. graúdo 2:</t>
        </is>
      </c>
      <c r="C43" s="335">
        <f>B41*D22</f>
        <v/>
      </c>
      <c r="D43" s="315" t="n"/>
      <c r="E43" s="82" t="n"/>
      <c r="F43" s="78" t="n"/>
      <c r="G43" s="83" t="n"/>
      <c r="H43" s="79" t="n"/>
      <c r="I43" s="78" t="n"/>
      <c r="J43" s="124" t="inlineStr">
        <is>
          <t>Total calculado</t>
        </is>
      </c>
      <c r="K43" s="339">
        <f>SUM(K38:K42)</f>
        <v/>
      </c>
    </row>
    <row r="44" ht="15.75" customFormat="1" customHeight="1" s="47">
      <c r="A44" s="135" t="n"/>
      <c r="B44" s="45" t="n"/>
      <c r="C44" s="45" t="n"/>
      <c r="D44" s="46" t="n"/>
      <c r="E44" s="163" t="n"/>
      <c r="F44" s="164" t="n"/>
      <c r="G44" s="165" t="n"/>
      <c r="H44" s="166" t="n"/>
      <c r="I44" s="164" t="n"/>
      <c r="J44" s="340" t="inlineStr">
        <is>
          <t>PV</t>
        </is>
      </c>
      <c r="K44" s="341">
        <f>K43+K36</f>
        <v/>
      </c>
    </row>
    <row r="45" ht="3" customFormat="1" customHeight="1" s="47">
      <c r="A45" s="169" t="n"/>
      <c r="B45" s="170" t="n"/>
      <c r="C45" s="170" t="n"/>
      <c r="D45" s="170" t="n"/>
      <c r="E45" s="171" t="n"/>
      <c r="F45" s="172" t="n"/>
      <c r="G45" s="170" t="n"/>
      <c r="H45" s="173" t="n"/>
      <c r="I45" s="172" t="n"/>
      <c r="J45" s="342" t="n"/>
      <c r="K45" s="343" t="n"/>
    </row>
    <row r="46" ht="15" customFormat="1" customHeight="1" s="47">
      <c r="A46" s="344" t="inlineStr">
        <is>
          <t>Estudo prático</t>
        </is>
      </c>
      <c r="B46" s="255" t="n"/>
      <c r="C46" s="255" t="n"/>
      <c r="D46" s="255" t="n"/>
      <c r="E46" s="255" t="n"/>
      <c r="F46" s="255" t="n"/>
      <c r="G46" s="255" t="n"/>
      <c r="H46" s="255" t="n"/>
      <c r="I46" s="255" t="n"/>
      <c r="J46" s="255" t="n"/>
      <c r="K46" s="262" t="n"/>
    </row>
    <row r="47" ht="15.75" customHeight="1">
      <c r="A47" s="345" t="inlineStr">
        <is>
          <t>Volume:</t>
        </is>
      </c>
      <c r="B47" s="346" t="n">
        <v>1000</v>
      </c>
      <c r="C47" s="258" t="n"/>
      <c r="D47" s="214" t="inlineStr">
        <is>
          <t>Peso Seco</t>
        </is>
      </c>
      <c r="E47" s="215" t="inlineStr">
        <is>
          <t>Umidade</t>
        </is>
      </c>
      <c r="F47" s="215" t="inlineStr">
        <is>
          <t>Absorção de água</t>
        </is>
      </c>
      <c r="G47" s="215" t="inlineStr">
        <is>
          <t>Peso Úmido</t>
        </is>
      </c>
      <c r="H47" s="85" t="inlineStr">
        <is>
          <t>Pesado por:</t>
        </is>
      </c>
      <c r="I47" s="86" t="n"/>
      <c r="J47" s="86" t="n"/>
      <c r="K47" s="140" t="n"/>
    </row>
    <row r="48" ht="15.75" customHeight="1">
      <c r="A48" s="285" t="n"/>
      <c r="B48" s="347" t="n"/>
      <c r="C48" s="348" t="n"/>
      <c r="D48" s="286" t="n"/>
      <c r="E48" s="287" t="n"/>
      <c r="F48" s="287" t="n"/>
      <c r="G48" s="287" t="n"/>
      <c r="H48" s="85" t="inlineStr">
        <is>
          <t>Ensaiado por:</t>
        </is>
      </c>
      <c r="I48" s="86" t="n"/>
      <c r="J48" s="86" t="n"/>
      <c r="K48" s="140" t="n"/>
    </row>
    <row r="49" ht="15.75" customHeight="1">
      <c r="A49" s="198">
        <f>C7</f>
        <v/>
      </c>
      <c r="B49" s="274" t="n"/>
      <c r="C49" s="286" t="n"/>
      <c r="D49" s="349">
        <f>H23*$B$47/1000</f>
        <v/>
      </c>
      <c r="E49" s="88" t="n"/>
      <c r="F49" s="349" t="n"/>
      <c r="G49" s="350">
        <f>D49</f>
        <v/>
      </c>
      <c r="H49" s="85" t="inlineStr">
        <is>
          <t>Moldado por:</t>
        </is>
      </c>
      <c r="I49" s="86" t="n"/>
      <c r="J49" s="86" t="n"/>
      <c r="K49" s="140" t="n"/>
    </row>
    <row r="50" ht="15.75" customHeight="1">
      <c r="A50" s="188">
        <f>C8</f>
        <v/>
      </c>
      <c r="B50" s="255" t="n"/>
      <c r="C50" s="262" t="n"/>
      <c r="D50" s="349">
        <f>H24*$B$47/1000</f>
        <v/>
      </c>
      <c r="E50" s="90" t="n">
        <v>0.05</v>
      </c>
      <c r="F50" s="91" t="n">
        <v>0</v>
      </c>
      <c r="G50" s="350">
        <f>D50*((1+E50)/(1+F50))</f>
        <v/>
      </c>
      <c r="H50" s="344" t="inlineStr">
        <is>
          <t>Aspecto do concreto:</t>
        </is>
      </c>
      <c r="I50" s="255" t="n"/>
      <c r="J50" s="255" t="n"/>
      <c r="K50" s="262" t="n"/>
    </row>
    <row r="51" ht="15.75" customHeight="1">
      <c r="A51" s="188">
        <f>C9</f>
        <v/>
      </c>
      <c r="B51" s="255" t="n"/>
      <c r="C51" s="262" t="n"/>
      <c r="D51" s="349">
        <f>H25*$B$47/1000</f>
        <v/>
      </c>
      <c r="E51" s="90" t="n">
        <v>0.015</v>
      </c>
      <c r="F51" s="91" t="n">
        <v>0</v>
      </c>
      <c r="G51" s="350">
        <f>D51*((1+E51)/(1+F51))</f>
        <v/>
      </c>
      <c r="H51" s="202" t="inlineStr">
        <is>
          <t>Bom aspecto</t>
        </is>
      </c>
      <c r="I51" s="351" t="n"/>
      <c r="J51" s="181" t="n"/>
      <c r="K51" s="258" t="n"/>
    </row>
    <row r="52" ht="15.75" customHeight="1">
      <c r="A52" s="188">
        <f>C10</f>
        <v/>
      </c>
      <c r="B52" s="255" t="n"/>
      <c r="C52" s="262" t="n"/>
      <c r="D52" s="349">
        <f>H26*$B$47/1000</f>
        <v/>
      </c>
      <c r="E52" s="91" t="n">
        <v>0</v>
      </c>
      <c r="F52" s="91" t="n">
        <v>0</v>
      </c>
      <c r="G52" s="350">
        <f>D52*((1+E52)/(1+F52))</f>
        <v/>
      </c>
      <c r="H52" s="176" t="inlineStr">
        <is>
          <t>Muito argamassado</t>
        </is>
      </c>
      <c r="J52" s="181" t="n"/>
      <c r="K52" s="258" t="n"/>
    </row>
    <row r="53" ht="15.75" customHeight="1">
      <c r="A53" s="188">
        <f>C11</f>
        <v/>
      </c>
      <c r="B53" s="255" t="n"/>
      <c r="C53" s="262" t="n"/>
      <c r="D53" s="349">
        <f>H27*$B$47/1000</f>
        <v/>
      </c>
      <c r="E53" s="91" t="n">
        <v>0</v>
      </c>
      <c r="F53" s="91" t="n">
        <v>0</v>
      </c>
      <c r="G53" s="350">
        <f>D53*((1+E53)/(1+F53))</f>
        <v/>
      </c>
      <c r="H53" s="176" t="inlineStr">
        <is>
          <t>Pouco argamassado</t>
        </is>
      </c>
      <c r="J53" s="181" t="n"/>
      <c r="K53" s="258" t="n"/>
    </row>
    <row r="54" ht="15.75" customHeight="1">
      <c r="A54" s="188" t="inlineStr">
        <is>
          <t>Água</t>
        </is>
      </c>
      <c r="B54" s="255" t="n"/>
      <c r="C54" s="262" t="n"/>
      <c r="D54" s="352">
        <f>H28*$B$47</f>
        <v/>
      </c>
      <c r="E54" s="93">
        <f>((G50-D50)+(G51-D51)+(G52-D52)+(G53-D53))*1000</f>
        <v/>
      </c>
      <c r="F54" s="352" t="n"/>
      <c r="G54" s="353">
        <f>(D54-E54)/1000</f>
        <v/>
      </c>
      <c r="H54" s="176" t="inlineStr">
        <is>
          <t>Áspero</t>
        </is>
      </c>
      <c r="J54" s="181" t="n"/>
      <c r="K54" s="258" t="n"/>
    </row>
    <row r="55" ht="15.75" customHeight="1">
      <c r="A55" s="188">
        <f>IF(ISBLANK(C12)," ",C12)</f>
        <v/>
      </c>
      <c r="B55" s="255" t="n"/>
      <c r="C55" s="262" t="n"/>
      <c r="D55" s="354">
        <f>H29*$B$47</f>
        <v/>
      </c>
      <c r="E55" s="88" t="n"/>
      <c r="F55" s="354" t="n"/>
      <c r="G55" s="355">
        <f>D55</f>
        <v/>
      </c>
      <c r="H55" s="176" t="inlineStr">
        <is>
          <t>Empedrado</t>
        </is>
      </c>
      <c r="J55" s="181" t="n"/>
      <c r="K55" s="258" t="n"/>
    </row>
    <row r="56" ht="15.75" customHeight="1">
      <c r="A56" s="188">
        <f>IF(ISBLANK(C13)," ",C13)</f>
        <v/>
      </c>
      <c r="B56" s="255" t="n"/>
      <c r="C56" s="262" t="n"/>
      <c r="D56" s="354">
        <f>H30*$B$47</f>
        <v/>
      </c>
      <c r="E56" s="88" t="n"/>
      <c r="F56" s="354" t="n"/>
      <c r="G56" s="355">
        <f>D56</f>
        <v/>
      </c>
      <c r="H56" s="176" t="inlineStr">
        <is>
          <t>Tend. Segregação</t>
        </is>
      </c>
      <c r="J56" s="181" t="n"/>
      <c r="K56" s="258" t="n"/>
    </row>
    <row r="57" ht="15.75" customHeight="1">
      <c r="A57" s="188">
        <f>IF(ISBLANK(C14)," ",C14)</f>
        <v/>
      </c>
      <c r="B57" s="255" t="n"/>
      <c r="C57" s="262" t="n"/>
      <c r="D57" s="354">
        <f>H31*$B$47</f>
        <v/>
      </c>
      <c r="E57" s="88" t="n"/>
      <c r="F57" s="354" t="n"/>
      <c r="G57" s="355">
        <f>D57</f>
        <v/>
      </c>
      <c r="H57" s="178" t="n"/>
      <c r="I57" s="274" t="n"/>
      <c r="J57" s="183" t="n"/>
      <c r="K57" s="260" t="n"/>
    </row>
    <row r="58" ht="15.75" customHeight="1">
      <c r="A58" s="188">
        <f>IF(ISBLANK(C15)," ",C15)</f>
        <v/>
      </c>
      <c r="B58" s="255" t="n"/>
      <c r="C58" s="262" t="n"/>
      <c r="D58" s="354">
        <f>H32*$B$47</f>
        <v/>
      </c>
      <c r="E58" s="88" t="n"/>
      <c r="F58" s="354" t="n"/>
      <c r="G58" s="355">
        <f>D58</f>
        <v/>
      </c>
      <c r="H58" s="98" t="inlineStr">
        <is>
          <t>Observações:</t>
        </is>
      </c>
      <c r="I58" s="137" t="n"/>
      <c r="J58" s="138" t="n"/>
      <c r="K58" s="141" t="n"/>
    </row>
    <row r="59" ht="15.75" customHeight="1">
      <c r="A59" s="188">
        <f>IF(ISBLANK(C16)," ",C16)</f>
        <v/>
      </c>
      <c r="B59" s="255" t="n"/>
      <c r="C59" s="262" t="n"/>
      <c r="D59" s="354">
        <f>H34*$B$47</f>
        <v/>
      </c>
      <c r="E59" s="88" t="n"/>
      <c r="F59" s="354" t="n"/>
      <c r="G59" s="355">
        <f>D59</f>
        <v/>
      </c>
      <c r="H59" s="100" t="n"/>
      <c r="I59" s="101" t="n"/>
      <c r="J59" s="84" t="n"/>
      <c r="K59" s="115" t="n"/>
    </row>
    <row r="60" ht="15.75" customHeight="1">
      <c r="A60" s="188">
        <f>IF(ISBLANK(C17)," ",C17)</f>
        <v/>
      </c>
      <c r="B60" s="255" t="n"/>
      <c r="C60" s="262" t="n"/>
      <c r="D60" s="354">
        <f>H35*$B$47</f>
        <v/>
      </c>
      <c r="E60" s="88" t="n"/>
      <c r="F60" s="354" t="n"/>
      <c r="G60" s="355">
        <f>D60</f>
        <v/>
      </c>
      <c r="H60" s="102" t="n"/>
      <c r="I60" s="103" t="n"/>
      <c r="J60" s="104" t="n"/>
      <c r="K60" s="142" t="n"/>
    </row>
    <row r="61" ht="15.75" customHeight="1">
      <c r="A61" s="356" t="inlineStr">
        <is>
          <t>Ajustes finais após ensaio</t>
        </is>
      </c>
      <c r="B61" s="274" t="n"/>
      <c r="C61" s="286" t="n"/>
      <c r="D61" s="357" t="inlineStr">
        <is>
          <t>Estudo concreto fresco</t>
        </is>
      </c>
      <c r="E61" s="255" t="n"/>
      <c r="F61" s="255" t="n"/>
      <c r="G61" s="255" t="n"/>
      <c r="H61" s="255" t="n"/>
      <c r="I61" s="255" t="n"/>
      <c r="J61" s="255" t="n"/>
      <c r="K61" s="262" t="n"/>
    </row>
    <row r="62" ht="15.75" customHeight="1">
      <c r="A62" s="188" t="inlineStr">
        <is>
          <t>Cons. de Água Total</t>
        </is>
      </c>
      <c r="B62" s="262" t="n"/>
      <c r="C62" s="358">
        <f>D54+G67</f>
        <v/>
      </c>
      <c r="D62" s="106" t="inlineStr">
        <is>
          <t>Slump 0":</t>
        </is>
      </c>
      <c r="E62" s="359" t="n"/>
      <c r="F62" s="143" t="inlineStr">
        <is>
          <t>Água:</t>
        </is>
      </c>
      <c r="G62" s="359" t="n"/>
      <c r="H62" s="143" t="inlineStr">
        <is>
          <t>Massa:</t>
        </is>
      </c>
      <c r="I62" s="359" t="n"/>
      <c r="J62" s="177" t="inlineStr">
        <is>
          <t>Ar Inc:</t>
        </is>
      </c>
      <c r="K62" s="359" t="n"/>
    </row>
    <row r="63" ht="15.75" customHeight="1">
      <c r="A63" s="188" t="inlineStr">
        <is>
          <t>Cons. de Água m³</t>
        </is>
      </c>
      <c r="B63" s="262" t="n"/>
      <c r="C63" s="360">
        <f>C62/B47</f>
        <v/>
      </c>
      <c r="D63" s="106" t="inlineStr">
        <is>
          <t>Slump 15":</t>
        </is>
      </c>
      <c r="E63" s="361" t="n"/>
      <c r="F63" s="143" t="inlineStr">
        <is>
          <t>Água:</t>
        </is>
      </c>
      <c r="G63" s="361" t="n"/>
      <c r="H63" s="143" t="inlineStr">
        <is>
          <t>Massa:</t>
        </is>
      </c>
      <c r="I63" s="361" t="n"/>
      <c r="J63" s="177" t="inlineStr">
        <is>
          <t>Ar Inc:</t>
        </is>
      </c>
      <c r="K63" s="361" t="n"/>
    </row>
    <row r="64" ht="15.75" customHeight="1">
      <c r="A64" s="188" t="inlineStr">
        <is>
          <t>A% Final</t>
        </is>
      </c>
      <c r="B64" s="262" t="n"/>
      <c r="C64" s="362">
        <f>C63/SUM(H23:H27)</f>
        <v/>
      </c>
      <c r="D64" s="106" t="inlineStr">
        <is>
          <t>Slump 30":</t>
        </is>
      </c>
      <c r="E64" s="361" t="n"/>
      <c r="F64" s="143" t="inlineStr">
        <is>
          <t>Água:</t>
        </is>
      </c>
      <c r="G64" s="361" t="n"/>
      <c r="H64" s="143" t="inlineStr">
        <is>
          <t>Massa:</t>
        </is>
      </c>
      <c r="I64" s="361" t="n"/>
      <c r="J64" s="177" t="inlineStr">
        <is>
          <t>Ar Inc:</t>
        </is>
      </c>
      <c r="K64" s="361" t="n"/>
    </row>
    <row r="65" ht="15.75" customHeight="1">
      <c r="A65" s="188" t="inlineStr">
        <is>
          <t>A/C Final</t>
        </is>
      </c>
      <c r="B65" s="262" t="n"/>
      <c r="C65" s="363">
        <f>C62/D49/1000</f>
        <v/>
      </c>
      <c r="D65" s="106" t="inlineStr">
        <is>
          <t>Slump 45":</t>
        </is>
      </c>
      <c r="E65" s="361" t="n"/>
      <c r="F65" s="143" t="inlineStr">
        <is>
          <t>Água:</t>
        </is>
      </c>
      <c r="G65" s="361" t="n"/>
      <c r="H65" s="143" t="inlineStr">
        <is>
          <t>Massa:</t>
        </is>
      </c>
      <c r="I65" s="361" t="n"/>
      <c r="J65" s="177" t="inlineStr">
        <is>
          <t>Ar Inc:</t>
        </is>
      </c>
      <c r="K65" s="361" t="n"/>
    </row>
    <row r="66" ht="15.75" customHeight="1">
      <c r="A66" s="188" t="inlineStr">
        <is>
          <t>m</t>
        </is>
      </c>
      <c r="B66" s="262" t="n"/>
      <c r="C66" s="364">
        <f>C65/C64-1</f>
        <v/>
      </c>
      <c r="D66" s="106" t="inlineStr">
        <is>
          <t>Slump 60":</t>
        </is>
      </c>
      <c r="E66" s="361" t="n"/>
      <c r="F66" s="143" t="inlineStr">
        <is>
          <t>Água:</t>
        </is>
      </c>
      <c r="G66" s="361" t="n"/>
      <c r="H66" s="143" t="inlineStr">
        <is>
          <t>Massa:</t>
        </is>
      </c>
      <c r="I66" s="361" t="n"/>
      <c r="J66" s="177" t="inlineStr">
        <is>
          <t>Ar Inc:</t>
        </is>
      </c>
      <c r="K66" s="361" t="n"/>
    </row>
    <row r="67" ht="15.75" customHeight="1">
      <c r="A67" s="188" t="inlineStr">
        <is>
          <t>Ag. Miúdos:</t>
        </is>
      </c>
      <c r="B67" s="262" t="n"/>
      <c r="C67" s="364">
        <f>D25*(C66+1)-1</f>
        <v/>
      </c>
      <c r="D67" s="111" t="inlineStr">
        <is>
          <t>Slump final:</t>
        </is>
      </c>
      <c r="E67" s="365" t="n"/>
      <c r="F67" s="112" t="inlineStr">
        <is>
          <t>Água:</t>
        </is>
      </c>
      <c r="G67" s="365">
        <f>SUM(G62:G66)</f>
        <v/>
      </c>
      <c r="H67" s="112" t="inlineStr">
        <is>
          <t>Massa:</t>
        </is>
      </c>
      <c r="I67" s="365" t="n"/>
      <c r="J67" s="179" t="inlineStr">
        <is>
          <t>Ar Inc:</t>
        </is>
      </c>
      <c r="K67" s="365" t="n"/>
    </row>
    <row r="68" ht="15.75" customHeight="1">
      <c r="A68" s="188" t="inlineStr">
        <is>
          <t>Ag. Graúdos:</t>
        </is>
      </c>
      <c r="B68" s="262" t="n"/>
      <c r="C68" s="366">
        <f>C66-C67</f>
        <v/>
      </c>
      <c r="D68" s="236" t="inlineStr">
        <is>
          <t>Modagem</t>
        </is>
      </c>
      <c r="E68" s="255" t="n"/>
      <c r="F68" s="255" t="n"/>
      <c r="G68" s="255" t="n"/>
      <c r="H68" s="255" t="n"/>
      <c r="I68" s="255" t="n"/>
      <c r="J68" s="255" t="n"/>
      <c r="K68" s="262" t="n"/>
    </row>
    <row r="69" ht="15.75" customHeight="1">
      <c r="A69" s="144" t="inlineStr">
        <is>
          <t>Observações:</t>
        </is>
      </c>
      <c r="B69" s="99" t="n"/>
      <c r="C69" s="114" t="n"/>
      <c r="D69" s="184" t="inlineStr">
        <is>
          <t>Idades</t>
        </is>
      </c>
      <c r="E69" s="88" t="inlineStr">
        <is>
          <t>R1</t>
        </is>
      </c>
      <c r="F69" s="88" t="inlineStr">
        <is>
          <t>R3</t>
        </is>
      </c>
      <c r="G69" s="88" t="inlineStr">
        <is>
          <t xml:space="preserve">R7 </t>
        </is>
      </c>
      <c r="H69" s="88" t="inlineStr">
        <is>
          <t>R14</t>
        </is>
      </c>
      <c r="I69" s="88" t="inlineStr">
        <is>
          <t>R28</t>
        </is>
      </c>
      <c r="J69" s="367" t="inlineStr">
        <is>
          <t>Hora da moldagem:</t>
        </is>
      </c>
      <c r="K69" s="145" t="n"/>
    </row>
    <row r="70" ht="15.75" customHeight="1">
      <c r="A70" s="100" t="n"/>
      <c r="B70" s="101" t="n"/>
      <c r="C70" s="115" t="n"/>
      <c r="D70" s="287" t="n"/>
      <c r="E70" s="116" t="n"/>
      <c r="F70" s="116" t="n"/>
      <c r="G70" s="116" t="n"/>
      <c r="H70" s="116" t="n"/>
      <c r="I70" s="116" t="n"/>
      <c r="J70" s="368" t="n"/>
      <c r="K70" s="146" t="n"/>
    </row>
    <row r="71" ht="15.75" customHeight="1">
      <c r="A71" s="102" t="n"/>
      <c r="B71" s="103" t="n"/>
      <c r="C71" s="142" t="n"/>
      <c r="D71" s="88" t="inlineStr">
        <is>
          <t>Nº de CP's</t>
        </is>
      </c>
      <c r="E71" s="147" t="n"/>
      <c r="F71" s="148" t="n"/>
      <c r="G71" s="148" t="n"/>
      <c r="H71" s="148" t="n"/>
      <c r="I71" s="148" t="n"/>
      <c r="J71" s="285" t="n"/>
      <c r="K71" s="149" t="n"/>
    </row>
    <row r="72">
      <c r="A72" s="369" t="inlineStr">
        <is>
          <t>CORREÇÕES APLICADAS PELA MESTRES DO CONCRETO:</t>
        </is>
      </c>
    </row>
    <row r="73">
      <c r="A73" s="370" t="inlineStr">
        <is>
          <t>1. H30: Corrigido erro de parênteses na fórmula de massa da adição</t>
        </is>
      </c>
    </row>
    <row r="74">
      <c r="A74" s="370" t="inlineStr">
        <is>
          <t>2. I30: Corrigido para usar densidade da sílica (F14=2.2) em vez de F13</t>
        </is>
      </c>
    </row>
    <row r="75">
      <c r="A75" s="370" t="inlineStr">
        <is>
          <t>3. Adicionado campo H14 para teor de sólidos da sílica em suspensão</t>
        </is>
      </c>
    </row>
    <row r="76">
      <c r="A76" s="370" t="inlineStr">
        <is>
          <t xml:space="preserve">   → Se sílica em suspensão, inserir teor de sólidos em H14 (ex: 50% = 0.5)</t>
        </is>
      </c>
    </row>
    <row r="77">
      <c r="A77" s="370" t="inlineStr">
        <is>
          <t xml:space="preserve">   → Se sílica seca/densificada, manter H14 = 100%</t>
        </is>
      </c>
    </row>
    <row r="78">
      <c r="A78" s="370" t="inlineStr"/>
    </row>
    <row r="79">
      <c r="A79" s="370" t="inlineStr">
        <is>
          <t>CÁLCULO DE ÁGUA DA SÍLICA EM SUSPENSÃO:</t>
        </is>
      </c>
    </row>
    <row r="80">
      <c r="A80" s="370" t="inlineStr">
        <is>
          <t>Água na sílica = Massa_sílica × (1 - Teor_sólidos)</t>
        </is>
      </c>
    </row>
    <row r="81">
      <c r="A81" s="370" t="inlineStr">
        <is>
          <t>Água efetiva = Água total - Água na sílica</t>
        </is>
      </c>
    </row>
    <row r="82">
      <c r="A82" s="370" t="inlineStr"/>
    </row>
    <row r="83">
      <c r="A83" s="370" t="inlineStr">
        <is>
          <t>Fórmula para calcular água da sílica: =H30*(1-H14)</t>
        </is>
      </c>
    </row>
    <row r="84">
      <c r="A84" s="370" t="inlineStr">
        <is>
          <t>Onde H30 = massa da sílica e H14 = teor de sólidos</t>
        </is>
      </c>
    </row>
  </sheetData>
  <mergeCells count="100">
    <mergeCell ref="H53:I53"/>
    <mergeCell ref="A15:B15"/>
    <mergeCell ref="A64:B64"/>
    <mergeCell ref="E23:F23"/>
    <mergeCell ref="H55:I55"/>
    <mergeCell ref="A57:C57"/>
    <mergeCell ref="A7:B7"/>
    <mergeCell ref="J53:K53"/>
    <mergeCell ref="D47:D48"/>
    <mergeCell ref="F47:F48"/>
    <mergeCell ref="C7:E7"/>
    <mergeCell ref="H52:I52"/>
    <mergeCell ref="A52:C52"/>
    <mergeCell ref="E34:F34"/>
    <mergeCell ref="J4:K4"/>
    <mergeCell ref="J69:J71"/>
    <mergeCell ref="A2:K2"/>
    <mergeCell ref="E27:F27"/>
    <mergeCell ref="E36:F36"/>
    <mergeCell ref="A17:B17"/>
    <mergeCell ref="A62:B62"/>
    <mergeCell ref="A49:C49"/>
    <mergeCell ref="D68:K68"/>
    <mergeCell ref="A68:B68"/>
    <mergeCell ref="A19:K19"/>
    <mergeCell ref="G21:G22"/>
    <mergeCell ref="A9:B9"/>
    <mergeCell ref="A11:B11"/>
    <mergeCell ref="H54:I54"/>
    <mergeCell ref="J57:K57"/>
    <mergeCell ref="A55:C55"/>
    <mergeCell ref="C12:E12"/>
    <mergeCell ref="H56:I56"/>
    <mergeCell ref="A46:K46"/>
    <mergeCell ref="H50:K50"/>
    <mergeCell ref="C13:E13"/>
    <mergeCell ref="A58:C58"/>
    <mergeCell ref="E20:K20"/>
    <mergeCell ref="J21:J22"/>
    <mergeCell ref="E26:F26"/>
    <mergeCell ref="A8:B8"/>
    <mergeCell ref="C15:E15"/>
    <mergeCell ref="B47:C48"/>
    <mergeCell ref="A51:C51"/>
    <mergeCell ref="J3:K3"/>
    <mergeCell ref="A60:C60"/>
    <mergeCell ref="E25:F25"/>
    <mergeCell ref="A63:B63"/>
    <mergeCell ref="A10:B10"/>
    <mergeCell ref="J51:K51"/>
    <mergeCell ref="F3:H3"/>
    <mergeCell ref="C10:E10"/>
    <mergeCell ref="C16:E16"/>
    <mergeCell ref="C9:E9"/>
    <mergeCell ref="A50:C50"/>
    <mergeCell ref="A1:K1"/>
    <mergeCell ref="C11:E11"/>
    <mergeCell ref="E29:F29"/>
    <mergeCell ref="A65:B65"/>
    <mergeCell ref="D61:K61"/>
    <mergeCell ref="E31:F31"/>
    <mergeCell ref="A12:B12"/>
    <mergeCell ref="E21:F22"/>
    <mergeCell ref="A14:B14"/>
    <mergeCell ref="H57:I57"/>
    <mergeCell ref="A59:C59"/>
    <mergeCell ref="C6:E6"/>
    <mergeCell ref="C14:E14"/>
    <mergeCell ref="E32:F32"/>
    <mergeCell ref="A61:C61"/>
    <mergeCell ref="A67:B67"/>
    <mergeCell ref="J52:K52"/>
    <mergeCell ref="A54:C54"/>
    <mergeCell ref="K21:K22"/>
    <mergeCell ref="E24:F24"/>
    <mergeCell ref="E33:F33"/>
    <mergeCell ref="A56:C56"/>
    <mergeCell ref="J37:K37"/>
    <mergeCell ref="H21:H22"/>
    <mergeCell ref="A6:B6"/>
    <mergeCell ref="E35:F35"/>
    <mergeCell ref="A16:B16"/>
    <mergeCell ref="C8:E8"/>
    <mergeCell ref="H51:I51"/>
    <mergeCell ref="I21:I22"/>
    <mergeCell ref="E28:F28"/>
    <mergeCell ref="C17:E17"/>
    <mergeCell ref="A66:B66"/>
    <mergeCell ref="A53:C53"/>
    <mergeCell ref="J55:K55"/>
    <mergeCell ref="E30:F30"/>
    <mergeCell ref="J54:K54"/>
    <mergeCell ref="A47:A48"/>
    <mergeCell ref="J56:K56"/>
    <mergeCell ref="E47:E48"/>
    <mergeCell ref="G47:G48"/>
    <mergeCell ref="A3:D3"/>
    <mergeCell ref="D69:D70"/>
    <mergeCell ref="A13:B13"/>
    <mergeCell ref="E37:E38"/>
  </mergeCells>
  <conditionalFormatting sqref="E23:E35">
    <cfRule type="containsText" priority="1" operator="containsText" text="0">
      <formula>NOT(ISERROR(SEARCH("0",E23)))</formula>
    </cfRule>
  </conditionalFormatting>
  <printOptions horizontalCentered="1"/>
  <pageMargins left="0.2362204724409449" right="0.2362204724409449" top="1.141732283464567" bottom="0.7480314960629921" header="0.3149606299212598" footer="0.3149606299212598"/>
  <pageSetup orientation="portrait" paperSize="9" scale="64"/>
  <headerFooter>
    <oddHeader>&amp;LENGENHARIA DO CONCRETO_x000a_ Julio Cesar Vechim - Eng. Civil_x000a_(11) 98261-8300_x000a_abstrataconcreto@gmail.com&amp;R&amp;G</oddHeader>
    <oddFooter>&amp;R&amp;D&amp;T&amp;F&amp;A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Julio Cesar Vechim</dc:creator>
  <dcterms:created xmlns:dcterms="http://purl.org/dc/terms/" xmlns:xsi="http://www.w3.org/2001/XMLSchema-instance" xsi:type="dcterms:W3CDTF">2021-04-29T21:02:49Z</dcterms:created>
  <dcterms:modified xmlns:dcterms="http://purl.org/dc/terms/" xmlns:xsi="http://www.w3.org/2001/XMLSchema-instance" xsi:type="dcterms:W3CDTF">2025-12-15T21:25:05Z</dcterms:modified>
  <cp:lastModifiedBy>Julio Vechim</cp:lastModifiedBy>
</cp:coreProperties>
</file>