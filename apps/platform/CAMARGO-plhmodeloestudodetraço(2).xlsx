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f1cb72af64db54/Desktop/"/>
    </mc:Choice>
  </mc:AlternateContent>
  <xr:revisionPtr revIDLastSave="7" documentId="8_{CBBBC5AB-D2C5-42F8-93A0-CC2EB9FAC02D}" xr6:coauthVersionLast="47" xr6:coauthVersionMax="47" xr10:uidLastSave="{706988D7-7D3B-4CDA-B982-955F48B37C76}"/>
  <bookViews>
    <workbookView xWindow="-120" yWindow="-120" windowWidth="20730" windowHeight="11040" xr2:uid="{2C3BE525-31D7-490A-A175-6766BDCF46F1}"/>
  </bookViews>
  <sheets>
    <sheet name="MODELO" sheetId="1" r:id="rId1"/>
  </sheets>
  <externalReferences>
    <externalReference r:id="rId2"/>
    <externalReference r:id="rId3"/>
    <externalReference r:id="rId4"/>
    <externalReference r:id="rId5"/>
  </externalReferences>
  <definedNames>
    <definedName name="__IntlFixup" hidden="1">TRUE</definedName>
    <definedName name="_xlnm.Print_Area" localSheetId="0">MODELO!$A$1:$K$71</definedName>
    <definedName name="aw">'[1]Areia Nat'!$L$6</definedName>
    <definedName name="baixo">[2]aux!$B$7</definedName>
    <definedName name="_xlnm.Database" localSheetId="0">#REF!</definedName>
    <definedName name="_xlnm.Database">#REF!</definedName>
    <definedName name="fck">[2]aux!$B$1</definedName>
    <definedName name="Filter_Currency_ExchangeRate">[3]Dashboard!$E$19</definedName>
    <definedName name="Filter_Person">[3]Dashboard!$D$23</definedName>
    <definedName name="Filter_Tag">[3]Dashboard!$D$25</definedName>
    <definedName name="fr">[2]aux!$B$2</definedName>
    <definedName name="ideal">[2]aux!$B$9</definedName>
    <definedName name="KR">[4]PARÂMETROS!$M$11</definedName>
    <definedName name="KRA">'[4]MATRIZ - A'!$L$10</definedName>
    <definedName name="Planner_Person">[3]Planner!$B$5:$B$115</definedName>
    <definedName name="Planner_Tag">[3]Planner!$D$5:$D$115</definedName>
    <definedName name="Planner_Type">[3]Planner!$E$5:$E$115</definedName>
    <definedName name="regular">[2]aux!$B$8</definedName>
    <definedName name="SD">[4]PARÂMETROS!$M$10</definedName>
    <definedName name="SDA">'[4]MATRIZ - A'!$L$9</definedName>
    <definedName name="sdr">[2]aux!$B$3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" l="1"/>
  <c r="B36" i="1"/>
  <c r="B35" i="1"/>
  <c r="B33" i="1"/>
  <c r="G31" i="1"/>
  <c r="H31" i="1" s="1"/>
  <c r="D57" i="1" s="1"/>
  <c r="G57" i="1" s="1"/>
  <c r="H32" i="1"/>
  <c r="I32" i="1" s="1"/>
  <c r="H29" i="1"/>
  <c r="H28" i="1"/>
  <c r="H23" i="1"/>
  <c r="H34" i="1" s="1"/>
  <c r="I34" i="1" s="1"/>
  <c r="I33" i="1"/>
  <c r="I17" i="1"/>
  <c r="K38" i="1"/>
  <c r="J35" i="1"/>
  <c r="J34" i="1"/>
  <c r="G67" i="1"/>
  <c r="A60" i="1"/>
  <c r="A59" i="1"/>
  <c r="A58" i="1"/>
  <c r="A57" i="1"/>
  <c r="A56" i="1"/>
  <c r="A55" i="1"/>
  <c r="A53" i="1"/>
  <c r="A52" i="1"/>
  <c r="A51" i="1"/>
  <c r="A50" i="1"/>
  <c r="A49" i="1"/>
  <c r="E35" i="1"/>
  <c r="E34" i="1"/>
  <c r="K33" i="1"/>
  <c r="G33" i="1"/>
  <c r="D33" i="1"/>
  <c r="E32" i="1"/>
  <c r="E31" i="1"/>
  <c r="G30" i="1"/>
  <c r="E30" i="1"/>
  <c r="G29" i="1"/>
  <c r="E29" i="1"/>
  <c r="B29" i="1"/>
  <c r="G28" i="1"/>
  <c r="E27" i="1"/>
  <c r="E26" i="1"/>
  <c r="E25" i="1"/>
  <c r="E24" i="1"/>
  <c r="E23" i="1"/>
  <c r="D22" i="1"/>
  <c r="D24" i="1" s="1"/>
  <c r="D21" i="1"/>
  <c r="B24" i="1" s="1"/>
  <c r="K17" i="1"/>
  <c r="K16" i="1"/>
  <c r="K15" i="1"/>
  <c r="J32" i="1" s="1"/>
  <c r="K14" i="1"/>
  <c r="J31" i="1" s="1"/>
  <c r="K13" i="1"/>
  <c r="J30" i="1" s="1"/>
  <c r="K12" i="1"/>
  <c r="J29" i="1" s="1"/>
  <c r="K11" i="1"/>
  <c r="J27" i="1" s="1"/>
  <c r="K10" i="1"/>
  <c r="J26" i="1" s="1"/>
  <c r="K9" i="1"/>
  <c r="J25" i="1" s="1"/>
  <c r="K8" i="1"/>
  <c r="J24" i="1" s="1"/>
  <c r="K7" i="1"/>
  <c r="J23" i="1" s="1"/>
  <c r="I29" i="1" l="1"/>
  <c r="I23" i="1"/>
  <c r="I28" i="1"/>
  <c r="H30" i="1"/>
  <c r="I30" i="1" s="1"/>
  <c r="I31" i="1"/>
  <c r="K32" i="1"/>
  <c r="K43" i="1"/>
  <c r="D58" i="1"/>
  <c r="G58" i="1" s="1"/>
  <c r="K31" i="1"/>
  <c r="G32" i="1"/>
  <c r="D35" i="1"/>
  <c r="K29" i="1"/>
  <c r="K23" i="1"/>
  <c r="D55" i="1"/>
  <c r="G55" i="1" s="1"/>
  <c r="K28" i="1"/>
  <c r="D54" i="1"/>
  <c r="D59" i="1"/>
  <c r="G59" i="1" s="1"/>
  <c r="K34" i="1"/>
  <c r="H35" i="1"/>
  <c r="I35" i="1" s="1"/>
  <c r="D49" i="1"/>
  <c r="G49" i="1" s="1"/>
  <c r="K35" i="1" l="1"/>
  <c r="B38" i="1"/>
  <c r="K30" i="1"/>
  <c r="D56" i="1"/>
  <c r="G56" i="1" s="1"/>
  <c r="C62" i="1"/>
  <c r="D60" i="1"/>
  <c r="G60" i="1" s="1"/>
  <c r="C39" i="1" l="1"/>
  <c r="G24" i="1" s="1"/>
  <c r="C40" i="1"/>
  <c r="G25" i="1" s="1"/>
  <c r="B41" i="1"/>
  <c r="C63" i="1"/>
  <c r="C65" i="1"/>
  <c r="H25" i="1" l="1"/>
  <c r="I25" i="1" s="1"/>
  <c r="H24" i="1"/>
  <c r="I24" i="1" s="1"/>
  <c r="C43" i="1"/>
  <c r="G27" i="1" s="1"/>
  <c r="C42" i="1"/>
  <c r="G26" i="1" s="1"/>
  <c r="D50" i="1" l="1"/>
  <c r="G50" i="1" s="1"/>
  <c r="D51" i="1"/>
  <c r="G51" i="1" s="1"/>
  <c r="K25" i="1"/>
  <c r="K24" i="1"/>
  <c r="H26" i="1"/>
  <c r="I26" i="1" s="1"/>
  <c r="H27" i="1"/>
  <c r="I27" i="1" s="1"/>
  <c r="D52" i="1" l="1"/>
  <c r="G52" i="1" s="1"/>
  <c r="K26" i="1"/>
  <c r="K27" i="1"/>
  <c r="D53" i="1"/>
  <c r="G53" i="1" s="1"/>
  <c r="C64" i="1"/>
  <c r="C66" i="1" s="1"/>
  <c r="C67" i="1" s="1"/>
  <c r="C68" i="1" s="1"/>
  <c r="D36" i="1"/>
  <c r="H36" i="1"/>
  <c r="I36" i="1"/>
  <c r="E54" i="1" l="1"/>
  <c r="G54" i="1" s="1"/>
  <c r="K36" i="1"/>
  <c r="K44" i="1" s="1"/>
</calcChain>
</file>

<file path=xl/sharedStrings.xml><?xml version="1.0" encoding="utf-8"?>
<sst xmlns="http://schemas.openxmlformats.org/spreadsheetml/2006/main" count="167" uniqueCount="142">
  <si>
    <t>ESTUDO DE DOSAGEM EM CONCRETO</t>
  </si>
  <si>
    <t>Descrição do estudo</t>
  </si>
  <si>
    <t>Objetivo:</t>
  </si>
  <si>
    <t>Traço nº:</t>
  </si>
  <si>
    <t>fck</t>
  </si>
  <si>
    <t>SLUMP</t>
  </si>
  <si>
    <t>Brita</t>
  </si>
  <si>
    <t>19mm</t>
  </si>
  <si>
    <t>Cimento</t>
  </si>
  <si>
    <t>Data:</t>
  </si>
  <si>
    <t>MCC</t>
  </si>
  <si>
    <t>Fornecedor</t>
  </si>
  <si>
    <t>M. Esp. Abs</t>
  </si>
  <si>
    <t>Info</t>
  </si>
  <si>
    <t>R$ unt</t>
  </si>
  <si>
    <t>Frete</t>
  </si>
  <si>
    <t>R$</t>
  </si>
  <si>
    <t>Ag. Miúdo 1</t>
  </si>
  <si>
    <t>AREIA QUARTZO</t>
  </si>
  <si>
    <t>MF 1,2</t>
  </si>
  <si>
    <t>Ag. Miúdo 2</t>
  </si>
  <si>
    <t>AREIA ARTIFICIAL</t>
  </si>
  <si>
    <t>Ag. Graúdo 1</t>
  </si>
  <si>
    <t>BRITA 0</t>
  </si>
  <si>
    <t>12,5mm</t>
  </si>
  <si>
    <t>Ag. Graúdo 2</t>
  </si>
  <si>
    <t>BRITA 1</t>
  </si>
  <si>
    <t>Aditivo 1</t>
  </si>
  <si>
    <t>Aditivo 2</t>
  </si>
  <si>
    <t>Adição 1</t>
  </si>
  <si>
    <t>Micro sílica</t>
  </si>
  <si>
    <t>Adição 2</t>
  </si>
  <si>
    <t>Suplementar 1</t>
  </si>
  <si>
    <t>Micro fibra de vidro 12mm</t>
  </si>
  <si>
    <t>Vidro</t>
  </si>
  <si>
    <t>Suplementar 2</t>
  </si>
  <si>
    <t>Óxido de ferro</t>
  </si>
  <si>
    <t>Pigmento</t>
  </si>
  <si>
    <t>Parâmetros do traço de concreto</t>
  </si>
  <si>
    <t>Proporções</t>
  </si>
  <si>
    <t>COMPOSIÇÃO DO TRAÇO M³</t>
  </si>
  <si>
    <t>Ag. Miúdo 1:</t>
  </si>
  <si>
    <t>Ag. Miudo 2:</t>
  </si>
  <si>
    <t>Traço Unitário</t>
  </si>
  <si>
    <t>Traço Massa</t>
  </si>
  <si>
    <t>Traço Volume</t>
  </si>
  <si>
    <t>Custo UNT</t>
  </si>
  <si>
    <t>Custo/m³</t>
  </si>
  <si>
    <t>Ag. Graúdo 1:</t>
  </si>
  <si>
    <t>Ag. Graúdo 2:</t>
  </si>
  <si>
    <t>M. Especifica do mix de agregados</t>
  </si>
  <si>
    <t>Ag. Miúdo:</t>
  </si>
  <si>
    <t>Ag. Graúdo;</t>
  </si>
  <si>
    <t>Teor de argamassa seca:</t>
  </si>
  <si>
    <t>Teor de ar incorporado:</t>
  </si>
  <si>
    <t>A/C:</t>
  </si>
  <si>
    <t>Cons. Cimento:</t>
  </si>
  <si>
    <t>A/C calc.:</t>
  </si>
  <si>
    <t>Cons. Adição 1:</t>
  </si>
  <si>
    <t>Água</t>
  </si>
  <si>
    <t>Água:</t>
  </si>
  <si>
    <t>Cons. Adição 2:</t>
  </si>
  <si>
    <t>Água calc.:</t>
  </si>
  <si>
    <t>CC. Estimado:</t>
  </si>
  <si>
    <t>Dosagem de aditivo:</t>
  </si>
  <si>
    <t>Aditivo 1:</t>
  </si>
  <si>
    <t>Aditivo 2:</t>
  </si>
  <si>
    <t>Cons. Ad 1:</t>
  </si>
  <si>
    <t>Cons. Ad 2:</t>
  </si>
  <si>
    <t>Ar Inc.</t>
  </si>
  <si>
    <t>Constante da equação:</t>
  </si>
  <si>
    <t>k1=</t>
  </si>
  <si>
    <t>k2=</t>
  </si>
  <si>
    <t>m=</t>
  </si>
  <si>
    <t>A%=</t>
  </si>
  <si>
    <t>Total:</t>
  </si>
  <si>
    <t>Relação agregados/aglomerante:</t>
  </si>
  <si>
    <t>Observações:</t>
  </si>
  <si>
    <t>R$/litro</t>
  </si>
  <si>
    <t>Dist. Obra</t>
  </si>
  <si>
    <t>TAXA</t>
  </si>
  <si>
    <t>Ag. Miúdos:</t>
  </si>
  <si>
    <t>DIESEL</t>
  </si>
  <si>
    <t>IMPOSTOS</t>
  </si>
  <si>
    <t>Ag. Miúdo 2:</t>
  </si>
  <si>
    <t>SERVIÇO</t>
  </si>
  <si>
    <t>Ag. Graúdos:</t>
  </si>
  <si>
    <t>MARGEM</t>
  </si>
  <si>
    <t>Ag. graúdo 1:</t>
  </si>
  <si>
    <t>OUTROS</t>
  </si>
  <si>
    <t>Ag. graúdo 2:</t>
  </si>
  <si>
    <t>Total calculado</t>
  </si>
  <si>
    <t>PV</t>
  </si>
  <si>
    <t>Estudo prático</t>
  </si>
  <si>
    <t>Volume:</t>
  </si>
  <si>
    <t>Peso Seco</t>
  </si>
  <si>
    <t>Umidade</t>
  </si>
  <si>
    <t>Absorção de água</t>
  </si>
  <si>
    <t>Peso Úmido</t>
  </si>
  <si>
    <t>Pesado por:</t>
  </si>
  <si>
    <t>Ensaiado por:</t>
  </si>
  <si>
    <t>Moldado por:</t>
  </si>
  <si>
    <t>Aspecto do concreto:</t>
  </si>
  <si>
    <t>Bom aspecto</t>
  </si>
  <si>
    <t>Muito argamassado</t>
  </si>
  <si>
    <t>Pouco argamassado</t>
  </si>
  <si>
    <t>Áspero</t>
  </si>
  <si>
    <t>Empedrado</t>
  </si>
  <si>
    <t>Tend. Segregação</t>
  </si>
  <si>
    <t>Ajustes finais após ensaio</t>
  </si>
  <si>
    <t>Estudo concreto fresco</t>
  </si>
  <si>
    <t>Cons. de Água Total</t>
  </si>
  <si>
    <t>Slump 0":</t>
  </si>
  <si>
    <t>Massa:</t>
  </si>
  <si>
    <t>Ar Inc:</t>
  </si>
  <si>
    <t>Cons. de Água m³</t>
  </si>
  <si>
    <t>Slump 15":</t>
  </si>
  <si>
    <t>A% Final</t>
  </si>
  <si>
    <t>Slump 30":</t>
  </si>
  <si>
    <t>A/C Final</t>
  </si>
  <si>
    <t>Slump 45":</t>
  </si>
  <si>
    <t>m</t>
  </si>
  <si>
    <t>Slump 60":</t>
  </si>
  <si>
    <t>Slump final:</t>
  </si>
  <si>
    <t>Modagem</t>
  </si>
  <si>
    <t>Idades</t>
  </si>
  <si>
    <t>R1</t>
  </si>
  <si>
    <t>R3</t>
  </si>
  <si>
    <t xml:space="preserve">R7 </t>
  </si>
  <si>
    <t>R14</t>
  </si>
  <si>
    <t>R28</t>
  </si>
  <si>
    <t>Hora da moldagem:</t>
  </si>
  <si>
    <t>Nº de CP's</t>
  </si>
  <si>
    <t>MODELO</t>
  </si>
  <si>
    <t>ESTUDO DE TRAÇO CAA</t>
  </si>
  <si>
    <t>12mm</t>
  </si>
  <si>
    <t>CPV</t>
  </si>
  <si>
    <t>Superplastificante</t>
  </si>
  <si>
    <t xml:space="preserve">CQ FLOW </t>
  </si>
  <si>
    <t>CPV  (Barroso)  - CSN</t>
  </si>
  <si>
    <t>Modificador de viscosidade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</si>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</sst>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C&quot;0"/>
    <numFmt numFmtId="166" formatCode="0.000"/>
    <numFmt numFmtId="167" formatCode="&quot;R$&quot;\ #,##0.00&quot;/ton&quot;"/>
    <numFmt numFmtId="168" formatCode="&quot;R$&quot;\ #,##0.00&quot;/m³&quot;"/>
    <numFmt numFmtId="169" formatCode="&quot;R$&quot;\ #,##0.00&quot;/kg&quot;"/>
    <numFmt numFmtId="170" formatCode="0.0"/>
    <numFmt numFmtId="171" formatCode="0.00\ &quot;l/m³&quot;"/>
    <numFmt numFmtId="172" formatCode="0.0%"/>
    <numFmt numFmtId="173" formatCode="0\ &quot;kg/m³&quot;"/>
    <numFmt numFmtId="174" formatCode="0.0000"/>
    <numFmt numFmtId="175" formatCode="0.00&quot; kg/m³&quot;"/>
    <numFmt numFmtId="176" formatCode="0.00&quot; l/m³&quot;"/>
    <numFmt numFmtId="177" formatCode="0.00\ &quot;kg/m³&quot;"/>
    <numFmt numFmtId="178" formatCode="0.000%"/>
    <numFmt numFmtId="179" formatCode="0.00\ &quot;l/m3&quot;"/>
    <numFmt numFmtId="180" formatCode="0.00\ &quot;litros&quot;"/>
    <numFmt numFmtId="181" formatCode="0.00&quot; kg&quot;"/>
    <numFmt numFmtId="182" formatCode="0\ &quot;g&quot;"/>
    <numFmt numFmtId="183" formatCode="0.00\ &quot; kg&quot;"/>
    <numFmt numFmtId="184" formatCode="0.00\ &quot;g&quot;"/>
    <numFmt numFmtId="185" formatCode="0.0\ &quot;g&quot;"/>
    <numFmt numFmtId="186" formatCode="0\ &quot;mm&quot;"/>
    <numFmt numFmtId="187" formatCode="0.00&quot;l/m³&quot;"/>
    <numFmt numFmtId="188" formatCode="0.000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8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251">
    <xf numFmtId="0" fontId="0" fillId="0" borderId="0" xfId="0"/>
    <xf numFmtId="0" fontId="5" fillId="0" borderId="0" xfId="3" applyFont="1"/>
    <xf numFmtId="0" fontId="8" fillId="4" borderId="9" xfId="3" applyFont="1" applyFill="1" applyBorder="1" applyAlignment="1" applyProtection="1">
      <alignment horizontal="right" vertical="center" wrapText="1"/>
      <protection locked="0"/>
    </xf>
    <xf numFmtId="0" fontId="6" fillId="0" borderId="12" xfId="3" applyFont="1" applyBorder="1"/>
    <xf numFmtId="166" fontId="5" fillId="3" borderId="11" xfId="3" applyNumberFormat="1" applyFont="1" applyFill="1" applyBorder="1" applyAlignment="1" applyProtection="1">
      <alignment horizontal="center"/>
      <protection locked="0"/>
    </xf>
    <xf numFmtId="166" fontId="5" fillId="3" borderId="12" xfId="3" applyNumberFormat="1" applyFont="1" applyFill="1" applyBorder="1" applyAlignment="1" applyProtection="1">
      <alignment horizontal="center"/>
      <protection locked="0"/>
    </xf>
    <xf numFmtId="167" fontId="5" fillId="3" borderId="11" xfId="3" applyNumberFormat="1" applyFont="1" applyFill="1" applyBorder="1" applyAlignment="1">
      <alignment horizontal="center"/>
    </xf>
    <xf numFmtId="166" fontId="5" fillId="5" borderId="11" xfId="3" applyNumberFormat="1" applyFont="1" applyFill="1" applyBorder="1" applyAlignment="1" applyProtection="1">
      <alignment horizontal="center"/>
      <protection locked="0"/>
    </xf>
    <xf numFmtId="168" fontId="5" fillId="3" borderId="11" xfId="3" applyNumberFormat="1" applyFont="1" applyFill="1" applyBorder="1" applyAlignment="1">
      <alignment horizontal="center"/>
    </xf>
    <xf numFmtId="167" fontId="11" fillId="3" borderId="11" xfId="3" applyNumberFormat="1" applyFont="1" applyFill="1" applyBorder="1" applyAlignment="1">
      <alignment horizontal="center"/>
    </xf>
    <xf numFmtId="166" fontId="5" fillId="3" borderId="11" xfId="3" quotePrefix="1" applyNumberFormat="1" applyFont="1" applyFill="1" applyBorder="1" applyAlignment="1" applyProtection="1">
      <alignment horizontal="center"/>
      <protection locked="0"/>
    </xf>
    <xf numFmtId="169" fontId="5" fillId="3" borderId="11" xfId="3" applyNumberFormat="1" applyFont="1" applyFill="1" applyBorder="1" applyAlignment="1">
      <alignment horizontal="center"/>
    </xf>
    <xf numFmtId="167" fontId="5" fillId="3" borderId="16" xfId="3" applyNumberFormat="1" applyFont="1" applyFill="1" applyBorder="1" applyAlignment="1">
      <alignment horizontal="center"/>
    </xf>
    <xf numFmtId="9" fontId="5" fillId="0" borderId="0" xfId="3" applyNumberFormat="1" applyFont="1"/>
    <xf numFmtId="0" fontId="13" fillId="6" borderId="17" xfId="3" applyFont="1" applyFill="1" applyBorder="1" applyAlignment="1">
      <alignment horizontal="left"/>
    </xf>
    <xf numFmtId="170" fontId="10" fillId="6" borderId="18" xfId="3" applyNumberFormat="1" applyFont="1" applyFill="1" applyBorder="1" applyAlignment="1">
      <alignment horizontal="center" vertical="center"/>
    </xf>
    <xf numFmtId="171" fontId="14" fillId="5" borderId="11" xfId="3" applyNumberFormat="1" applyFont="1" applyFill="1" applyBorder="1" applyAlignment="1">
      <alignment horizontal="center"/>
    </xf>
    <xf numFmtId="0" fontId="11" fillId="6" borderId="19" xfId="3" applyFont="1" applyFill="1" applyBorder="1" applyAlignment="1">
      <alignment horizontal="left"/>
    </xf>
    <xf numFmtId="172" fontId="11" fillId="3" borderId="20" xfId="4" applyNumberFormat="1" applyFont="1" applyFill="1" applyBorder="1" applyAlignment="1" applyProtection="1">
      <alignment horizontal="center"/>
      <protection locked="0"/>
    </xf>
    <xf numFmtId="0" fontId="11" fillId="6" borderId="0" xfId="3" applyFont="1" applyFill="1" applyAlignment="1">
      <alignment horizontal="left"/>
    </xf>
    <xf numFmtId="172" fontId="11" fillId="6" borderId="21" xfId="4" applyNumberFormat="1" applyFont="1" applyFill="1" applyBorder="1" applyAlignment="1">
      <alignment horizontal="center"/>
    </xf>
    <xf numFmtId="172" fontId="11" fillId="3" borderId="5" xfId="4" applyNumberFormat="1" applyFont="1" applyFill="1" applyBorder="1" applyAlignment="1" applyProtection="1">
      <alignment horizontal="center"/>
      <protection locked="0"/>
    </xf>
    <xf numFmtId="172" fontId="11" fillId="6" borderId="10" xfId="4" applyNumberFormat="1" applyFont="1" applyFill="1" applyBorder="1" applyAlignment="1">
      <alignment horizontal="center"/>
    </xf>
    <xf numFmtId="0" fontId="13" fillId="6" borderId="19" xfId="3" applyFont="1" applyFill="1" applyBorder="1" applyAlignment="1">
      <alignment horizontal="left"/>
    </xf>
    <xf numFmtId="0" fontId="5" fillId="6" borderId="0" xfId="3" applyFont="1" applyFill="1" applyAlignment="1">
      <alignment horizontal="left"/>
    </xf>
    <xf numFmtId="0" fontId="5" fillId="6" borderId="15" xfId="3" applyFont="1" applyFill="1" applyBorder="1" applyAlignment="1">
      <alignment horizontal="left"/>
    </xf>
    <xf numFmtId="2" fontId="5" fillId="0" borderId="11" xfId="4" applyNumberFormat="1" applyFont="1" applyBorder="1" applyAlignment="1">
      <alignment horizontal="center"/>
    </xf>
    <xf numFmtId="173" fontId="5" fillId="0" borderId="11" xfId="3" applyNumberFormat="1" applyFont="1" applyBorder="1" applyAlignment="1">
      <alignment horizontal="center"/>
    </xf>
    <xf numFmtId="171" fontId="5" fillId="0" borderId="11" xfId="3" applyNumberFormat="1" applyFont="1" applyBorder="1" applyAlignment="1">
      <alignment horizontal="center"/>
    </xf>
    <xf numFmtId="168" fontId="8" fillId="5" borderId="13" xfId="3" applyNumberFormat="1" applyFont="1" applyFill="1" applyBorder="1" applyAlignment="1">
      <alignment horizontal="center"/>
    </xf>
    <xf numFmtId="0" fontId="11" fillId="6" borderId="0" xfId="3" applyFont="1" applyFill="1" applyAlignment="1">
      <alignment horizontal="center"/>
    </xf>
    <xf numFmtId="166" fontId="11" fillId="6" borderId="15" xfId="3" applyNumberFormat="1" applyFont="1" applyFill="1" applyBorder="1" applyAlignment="1">
      <alignment horizontal="center"/>
    </xf>
    <xf numFmtId="2" fontId="5" fillId="0" borderId="11" xfId="3" applyNumberFormat="1" applyFont="1" applyBorder="1" applyAlignment="1">
      <alignment horizontal="center"/>
    </xf>
    <xf numFmtId="172" fontId="11" fillId="3" borderId="21" xfId="3" applyNumberFormat="1" applyFont="1" applyFill="1" applyBorder="1" applyAlignment="1" applyProtection="1">
      <alignment horizontal="center"/>
      <protection locked="0"/>
    </xf>
    <xf numFmtId="10" fontId="11" fillId="3" borderId="10" xfId="3" applyNumberFormat="1" applyFont="1" applyFill="1" applyBorder="1" applyAlignment="1" applyProtection="1">
      <alignment horizontal="center"/>
      <protection locked="0"/>
    </xf>
    <xf numFmtId="174" fontId="11" fillId="3" borderId="20" xfId="3" applyNumberFormat="1" applyFont="1" applyFill="1" applyBorder="1" applyAlignment="1" applyProtection="1">
      <alignment horizontal="left"/>
      <protection locked="0"/>
    </xf>
    <xf numFmtId="0" fontId="13" fillId="6" borderId="0" xfId="3" applyFont="1" applyFill="1" applyAlignment="1">
      <alignment horizontal="left"/>
    </xf>
    <xf numFmtId="175" fontId="11" fillId="3" borderId="21" xfId="3" applyNumberFormat="1" applyFont="1" applyFill="1" applyBorder="1" applyAlignment="1" applyProtection="1">
      <alignment horizontal="center"/>
      <protection locked="0"/>
    </xf>
    <xf numFmtId="174" fontId="15" fillId="6" borderId="0" xfId="1" applyNumberFormat="1" applyFont="1" applyFill="1" applyBorder="1" applyAlignment="1">
      <alignment horizontal="left"/>
    </xf>
    <xf numFmtId="175" fontId="11" fillId="3" borderId="10" xfId="3" applyNumberFormat="1" applyFont="1" applyFill="1" applyBorder="1" applyAlignment="1" applyProtection="1">
      <alignment horizontal="center"/>
      <protection locked="0"/>
    </xf>
    <xf numFmtId="176" fontId="11" fillId="6" borderId="0" xfId="3" applyNumberFormat="1" applyFont="1" applyFill="1" applyAlignment="1">
      <alignment horizontal="left"/>
    </xf>
    <xf numFmtId="10" fontId="5" fillId="0" borderId="11" xfId="3" applyNumberFormat="1" applyFont="1" applyBorder="1" applyAlignment="1">
      <alignment horizontal="center"/>
    </xf>
    <xf numFmtId="177" fontId="5" fillId="0" borderId="11" xfId="3" applyNumberFormat="1" applyFont="1" applyBorder="1" applyAlignment="1">
      <alignment horizontal="center"/>
    </xf>
    <xf numFmtId="176" fontId="15" fillId="6" borderId="0" xfId="3" applyNumberFormat="1" applyFont="1" applyFill="1" applyAlignment="1">
      <alignment horizontal="left"/>
    </xf>
    <xf numFmtId="175" fontId="15" fillId="6" borderId="25" xfId="3" applyNumberFormat="1" applyFont="1" applyFill="1" applyBorder="1" applyAlignment="1">
      <alignment horizontal="left"/>
    </xf>
    <xf numFmtId="0" fontId="11" fillId="6" borderId="0" xfId="3" applyFont="1" applyFill="1"/>
    <xf numFmtId="0" fontId="11" fillId="6" borderId="15" xfId="3" applyFont="1" applyFill="1" applyBorder="1"/>
    <xf numFmtId="0" fontId="11" fillId="0" borderId="0" xfId="3" applyFont="1"/>
    <xf numFmtId="178" fontId="16" fillId="3" borderId="20" xfId="4" applyNumberFormat="1" applyFont="1" applyFill="1" applyBorder="1" applyAlignment="1" applyProtection="1">
      <alignment horizontal="left"/>
      <protection locked="0"/>
    </xf>
    <xf numFmtId="10" fontId="16" fillId="3" borderId="21" xfId="4" applyNumberFormat="1" applyFont="1" applyFill="1" applyBorder="1" applyAlignment="1" applyProtection="1">
      <alignment horizontal="left"/>
      <protection locked="0"/>
    </xf>
    <xf numFmtId="179" fontId="16" fillId="6" borderId="0" xfId="4" applyNumberFormat="1" applyFont="1" applyFill="1" applyBorder="1" applyAlignment="1">
      <alignment horizontal="left"/>
    </xf>
    <xf numFmtId="179" fontId="16" fillId="6" borderId="15" xfId="4" applyNumberFormat="1" applyFont="1" applyFill="1" applyBorder="1" applyAlignment="1">
      <alignment horizontal="left"/>
    </xf>
    <xf numFmtId="10" fontId="5" fillId="0" borderId="16" xfId="3" applyNumberFormat="1" applyFont="1" applyBorder="1" applyAlignment="1">
      <alignment horizontal="center"/>
    </xf>
    <xf numFmtId="177" fontId="5" fillId="0" borderId="16" xfId="3" applyNumberFormat="1" applyFont="1" applyBorder="1" applyAlignment="1">
      <alignment horizontal="center"/>
    </xf>
    <xf numFmtId="171" fontId="5" fillId="0" borderId="16" xfId="3" applyNumberFormat="1" applyFont="1" applyBorder="1" applyAlignment="1">
      <alignment horizontal="center"/>
    </xf>
    <xf numFmtId="168" fontId="8" fillId="5" borderId="26" xfId="3" applyNumberFormat="1" applyFont="1" applyFill="1" applyBorder="1" applyAlignment="1">
      <alignment horizontal="center"/>
    </xf>
    <xf numFmtId="177" fontId="5" fillId="3" borderId="23" xfId="3" applyNumberFormat="1" applyFont="1" applyFill="1" applyBorder="1" applyAlignment="1">
      <alignment horizontal="center"/>
    </xf>
    <xf numFmtId="171" fontId="5" fillId="3" borderId="23" xfId="3" applyNumberFormat="1" applyFont="1" applyFill="1" applyBorder="1" applyAlignment="1">
      <alignment horizontal="center"/>
    </xf>
    <xf numFmtId="169" fontId="5" fillId="3" borderId="23" xfId="3" applyNumberFormat="1" applyFont="1" applyFill="1" applyBorder="1" applyAlignment="1">
      <alignment horizontal="center"/>
    </xf>
    <xf numFmtId="168" fontId="8" fillId="5" borderId="24" xfId="3" applyNumberFormat="1" applyFont="1" applyFill="1" applyBorder="1" applyAlignment="1">
      <alignment horizontal="center"/>
    </xf>
    <xf numFmtId="0" fontId="2" fillId="0" borderId="0" xfId="3" applyFont="1"/>
    <xf numFmtId="0" fontId="11" fillId="6" borderId="19" xfId="3" applyFont="1" applyFill="1" applyBorder="1" applyAlignment="1">
      <alignment horizontal="center"/>
    </xf>
    <xf numFmtId="174" fontId="11" fillId="6" borderId="0" xfId="3" applyNumberFormat="1" applyFont="1" applyFill="1" applyAlignment="1">
      <alignment horizontal="left"/>
    </xf>
    <xf numFmtId="174" fontId="11" fillId="6" borderId="15" xfId="3" applyNumberFormat="1" applyFont="1" applyFill="1" applyBorder="1" applyAlignment="1">
      <alignment horizontal="left"/>
    </xf>
    <xf numFmtId="172" fontId="11" fillId="3" borderId="27" xfId="3" applyNumberFormat="1" applyFont="1" applyFill="1" applyBorder="1" applyAlignment="1" applyProtection="1">
      <alignment horizontal="center"/>
      <protection locked="0"/>
    </xf>
    <xf numFmtId="177" fontId="5" fillId="3" borderId="16" xfId="3" applyNumberFormat="1" applyFont="1" applyFill="1" applyBorder="1" applyAlignment="1">
      <alignment horizontal="center"/>
    </xf>
    <xf numFmtId="171" fontId="5" fillId="3" borderId="16" xfId="3" applyNumberFormat="1" applyFont="1" applyFill="1" applyBorder="1" applyAlignment="1">
      <alignment horizontal="center"/>
    </xf>
    <xf numFmtId="169" fontId="5" fillId="3" borderId="16" xfId="3" applyNumberFormat="1" applyFont="1" applyFill="1" applyBorder="1" applyAlignment="1">
      <alignment horizontal="center"/>
    </xf>
    <xf numFmtId="0" fontId="15" fillId="0" borderId="0" xfId="3" applyFont="1"/>
    <xf numFmtId="0" fontId="16" fillId="6" borderId="19" xfId="3" applyFont="1" applyFill="1" applyBorder="1" applyAlignment="1">
      <alignment horizontal="center"/>
    </xf>
    <xf numFmtId="174" fontId="16" fillId="6" borderId="0" xfId="3" applyNumberFormat="1" applyFont="1" applyFill="1" applyAlignment="1">
      <alignment horizontal="left"/>
    </xf>
    <xf numFmtId="0" fontId="16" fillId="6" borderId="0" xfId="3" applyFont="1" applyFill="1" applyAlignment="1">
      <alignment horizontal="center"/>
    </xf>
    <xf numFmtId="174" fontId="16" fillId="6" borderId="15" xfId="3" applyNumberFormat="1" applyFont="1" applyFill="1" applyBorder="1" applyAlignment="1">
      <alignment horizontal="left"/>
    </xf>
    <xf numFmtId="0" fontId="8" fillId="5" borderId="23" xfId="3" applyFont="1" applyFill="1" applyBorder="1" applyAlignment="1">
      <alignment horizontal="center"/>
    </xf>
    <xf numFmtId="177" fontId="8" fillId="5" borderId="23" xfId="3" applyNumberFormat="1" applyFont="1" applyFill="1" applyBorder="1" applyAlignment="1">
      <alignment horizontal="center"/>
    </xf>
    <xf numFmtId="171" fontId="8" fillId="5" borderId="23" xfId="3" applyNumberFormat="1" applyFont="1" applyFill="1" applyBorder="1" applyAlignment="1">
      <alignment horizontal="center"/>
    </xf>
    <xf numFmtId="167" fontId="8" fillId="5" borderId="23" xfId="3" applyNumberFormat="1" applyFont="1" applyFill="1" applyBorder="1" applyAlignment="1">
      <alignment horizontal="center"/>
    </xf>
    <xf numFmtId="0" fontId="11" fillId="0" borderId="28" xfId="3" applyFont="1" applyBorder="1" applyAlignment="1">
      <alignment horizontal="center"/>
    </xf>
    <xf numFmtId="0" fontId="11" fillId="0" borderId="31" xfId="3" applyFont="1" applyBorder="1" applyAlignment="1">
      <alignment horizontal="center"/>
    </xf>
    <xf numFmtId="10" fontId="11" fillId="0" borderId="31" xfId="4" applyNumberFormat="1" applyFont="1" applyBorder="1" applyAlignment="1">
      <alignment horizontal="center"/>
    </xf>
    <xf numFmtId="0" fontId="18" fillId="6" borderId="0" xfId="3" applyFont="1" applyFill="1" applyAlignment="1">
      <alignment horizontal="left"/>
    </xf>
    <xf numFmtId="174" fontId="19" fillId="6" borderId="0" xfId="3" applyNumberFormat="1" applyFont="1" applyFill="1" applyAlignment="1">
      <alignment horizontal="center"/>
    </xf>
    <xf numFmtId="0" fontId="11" fillId="0" borderId="32" xfId="3" applyFont="1" applyBorder="1" applyAlignment="1">
      <alignment horizontal="left"/>
    </xf>
    <xf numFmtId="0" fontId="11" fillId="0" borderId="31" xfId="3" applyFont="1" applyBorder="1"/>
    <xf numFmtId="0" fontId="5" fillId="0" borderId="31" xfId="3" applyFont="1" applyBorder="1" applyAlignment="1">
      <alignment horizontal="center"/>
    </xf>
    <xf numFmtId="0" fontId="5" fillId="0" borderId="12" xfId="3" applyFont="1" applyBorder="1" applyAlignment="1">
      <alignment horizontal="left"/>
    </xf>
    <xf numFmtId="0" fontId="5" fillId="0" borderId="5" xfId="3" applyFont="1" applyBorder="1" applyAlignment="1">
      <alignment horizontal="center"/>
    </xf>
    <xf numFmtId="181" fontId="8" fillId="0" borderId="11" xfId="3" applyNumberFormat="1" applyFont="1" applyBorder="1" applyAlignment="1">
      <alignment horizontal="center"/>
    </xf>
    <xf numFmtId="0" fontId="5" fillId="0" borderId="11" xfId="3" applyFont="1" applyBorder="1" applyAlignment="1">
      <alignment horizontal="center"/>
    </xf>
    <xf numFmtId="181" fontId="8" fillId="5" borderId="11" xfId="3" applyNumberFormat="1" applyFont="1" applyFill="1" applyBorder="1" applyAlignment="1">
      <alignment horizontal="center"/>
    </xf>
    <xf numFmtId="10" fontId="2" fillId="3" borderId="11" xfId="4" applyNumberFormat="1" applyFont="1" applyFill="1" applyBorder="1" applyAlignment="1" applyProtection="1">
      <alignment horizontal="center"/>
      <protection locked="0"/>
    </xf>
    <xf numFmtId="10" fontId="5" fillId="3" borderId="11" xfId="4" applyNumberFormat="1" applyFont="1" applyFill="1" applyBorder="1" applyAlignment="1" applyProtection="1">
      <alignment horizontal="center"/>
      <protection locked="0"/>
    </xf>
    <xf numFmtId="182" fontId="8" fillId="0" borderId="11" xfId="3" applyNumberFormat="1" applyFont="1" applyBorder="1" applyAlignment="1">
      <alignment horizontal="center"/>
    </xf>
    <xf numFmtId="2" fontId="20" fillId="0" borderId="11" xfId="3" applyNumberFormat="1" applyFont="1" applyBorder="1" applyAlignment="1">
      <alignment horizontal="center"/>
    </xf>
    <xf numFmtId="183" fontId="8" fillId="5" borderId="11" xfId="3" applyNumberFormat="1" applyFont="1" applyFill="1" applyBorder="1" applyAlignment="1">
      <alignment horizontal="center"/>
    </xf>
    <xf numFmtId="184" fontId="8" fillId="0" borderId="11" xfId="3" applyNumberFormat="1" applyFont="1" applyBorder="1" applyAlignment="1">
      <alignment horizontal="center"/>
    </xf>
    <xf numFmtId="185" fontId="8" fillId="5" borderId="11" xfId="3" applyNumberFormat="1" applyFont="1" applyFill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8" fillId="0" borderId="14" xfId="3" applyFont="1" applyBorder="1"/>
    <xf numFmtId="0" fontId="5" fillId="0" borderId="28" xfId="3" applyFont="1" applyBorder="1"/>
    <xf numFmtId="0" fontId="5" fillId="0" borderId="32" xfId="3" applyFont="1" applyBorder="1"/>
    <xf numFmtId="0" fontId="5" fillId="0" borderId="31" xfId="3" applyFont="1" applyBorder="1"/>
    <xf numFmtId="0" fontId="5" fillId="0" borderId="38" xfId="3" applyFont="1" applyBorder="1"/>
    <xf numFmtId="0" fontId="5" fillId="0" borderId="39" xfId="3" applyFont="1" applyBorder="1"/>
    <xf numFmtId="0" fontId="5" fillId="0" borderId="39" xfId="3" applyFont="1" applyBorder="1" applyAlignment="1">
      <alignment horizontal="center"/>
    </xf>
    <xf numFmtId="182" fontId="5" fillId="0" borderId="11" xfId="3" applyNumberFormat="1" applyFont="1" applyBorder="1" applyAlignment="1">
      <alignment horizontal="center"/>
    </xf>
    <xf numFmtId="0" fontId="5" fillId="0" borderId="14" xfId="3" applyFont="1" applyBorder="1" applyAlignment="1">
      <alignment horizontal="left" vertical="center"/>
    </xf>
    <xf numFmtId="187" fontId="5" fillId="0" borderId="11" xfId="3" applyNumberFormat="1" applyFont="1" applyBorder="1"/>
    <xf numFmtId="188" fontId="5" fillId="0" borderId="11" xfId="4" applyNumberFormat="1" applyFont="1" applyBorder="1" applyAlignment="1">
      <alignment horizontal="center"/>
    </xf>
    <xf numFmtId="166" fontId="5" fillId="0" borderId="11" xfId="3" applyNumberFormat="1" applyFont="1" applyBorder="1" applyAlignment="1">
      <alignment horizontal="center"/>
    </xf>
    <xf numFmtId="174" fontId="5" fillId="0" borderId="11" xfId="3" applyNumberFormat="1" applyFont="1" applyBorder="1" applyAlignment="1">
      <alignment horizontal="center"/>
    </xf>
    <xf numFmtId="0" fontId="5" fillId="0" borderId="36" xfId="3" applyFont="1" applyBorder="1" applyAlignment="1">
      <alignment horizontal="left" vertical="center"/>
    </xf>
    <xf numFmtId="0" fontId="5" fillId="0" borderId="20" xfId="3" applyFont="1" applyBorder="1" applyAlignment="1">
      <alignment horizontal="center" vertical="center"/>
    </xf>
    <xf numFmtId="174" fontId="5" fillId="0" borderId="12" xfId="3" applyNumberFormat="1" applyFont="1" applyBorder="1" applyAlignment="1">
      <alignment horizontal="center"/>
    </xf>
    <xf numFmtId="0" fontId="5" fillId="0" borderId="40" xfId="3" applyFont="1" applyBorder="1"/>
    <xf numFmtId="0" fontId="5" fillId="0" borderId="41" xfId="3" applyFont="1" applyBorder="1"/>
    <xf numFmtId="0" fontId="5" fillId="0" borderId="42" xfId="3" applyFont="1" applyBorder="1" applyAlignment="1" applyProtection="1">
      <alignment horizontal="center"/>
      <protection locked="0"/>
    </xf>
    <xf numFmtId="0" fontId="8" fillId="2" borderId="12" xfId="3" applyFont="1" applyFill="1" applyBorder="1" applyAlignment="1">
      <alignment horizontal="center"/>
    </xf>
    <xf numFmtId="0" fontId="8" fillId="2" borderId="11" xfId="3" applyFont="1" applyFill="1" applyBorder="1" applyAlignment="1">
      <alignment horizontal="center"/>
    </xf>
    <xf numFmtId="164" fontId="11" fillId="0" borderId="34" xfId="2" applyFont="1" applyBorder="1" applyAlignment="1">
      <alignment horizontal="center" vertical="center"/>
    </xf>
    <xf numFmtId="43" fontId="16" fillId="0" borderId="31" xfId="1" applyFont="1" applyBorder="1" applyAlignment="1">
      <alignment horizontal="center"/>
    </xf>
    <xf numFmtId="164" fontId="15" fillId="0" borderId="31" xfId="2" applyFont="1" applyBorder="1" applyAlignment="1">
      <alignment horizontal="center"/>
    </xf>
    <xf numFmtId="0" fontId="11" fillId="0" borderId="32" xfId="3" applyFont="1" applyBorder="1" applyAlignment="1">
      <alignment horizontal="center"/>
    </xf>
    <xf numFmtId="166" fontId="11" fillId="0" borderId="32" xfId="3" applyNumberFormat="1" applyFont="1" applyBorder="1" applyAlignment="1">
      <alignment horizontal="center"/>
    </xf>
    <xf numFmtId="0" fontId="16" fillId="0" borderId="32" xfId="3" applyFont="1" applyBorder="1" applyAlignment="1">
      <alignment horizontal="center"/>
    </xf>
    <xf numFmtId="43" fontId="11" fillId="0" borderId="34" xfId="3" applyNumberFormat="1" applyFont="1" applyBorder="1" applyAlignment="1">
      <alignment horizontal="center"/>
    </xf>
    <xf numFmtId="164" fontId="11" fillId="0" borderId="34" xfId="2" applyFont="1" applyBorder="1"/>
    <xf numFmtId="164" fontId="16" fillId="0" borderId="34" xfId="2" applyFont="1" applyBorder="1" applyAlignment="1">
      <alignment horizontal="center" vertical="center"/>
    </xf>
    <xf numFmtId="186" fontId="8" fillId="3" borderId="42" xfId="3" applyNumberFormat="1" applyFont="1" applyFill="1" applyBorder="1" applyAlignment="1" applyProtection="1">
      <alignment horizontal="center" vertical="center"/>
      <protection locked="0"/>
    </xf>
    <xf numFmtId="186" fontId="8" fillId="3" borderId="46" xfId="3" applyNumberFormat="1" applyFont="1" applyFill="1" applyBorder="1" applyAlignment="1" applyProtection="1">
      <alignment horizontal="center" vertical="center"/>
      <protection locked="0"/>
    </xf>
    <xf numFmtId="186" fontId="8" fillId="3" borderId="47" xfId="3" applyNumberFormat="1" applyFont="1" applyFill="1" applyBorder="1" applyAlignment="1" applyProtection="1">
      <alignment horizontal="center" vertical="center"/>
      <protection locked="0"/>
    </xf>
    <xf numFmtId="164" fontId="15" fillId="0" borderId="38" xfId="2" applyFont="1" applyBorder="1" applyAlignment="1">
      <alignment horizontal="center"/>
    </xf>
    <xf numFmtId="43" fontId="21" fillId="3" borderId="45" xfId="1" applyFont="1" applyFill="1" applyBorder="1" applyAlignment="1">
      <alignment horizontal="center"/>
    </xf>
    <xf numFmtId="43" fontId="16" fillId="5" borderId="44" xfId="1" applyFont="1" applyFill="1" applyBorder="1" applyAlignment="1">
      <alignment horizontal="center"/>
    </xf>
    <xf numFmtId="10" fontId="16" fillId="5" borderId="40" xfId="4" applyNumberFormat="1" applyFont="1" applyFill="1" applyBorder="1" applyAlignment="1">
      <alignment horizontal="center"/>
    </xf>
    <xf numFmtId="0" fontId="11" fillId="6" borderId="19" xfId="3" applyFont="1" applyFill="1" applyBorder="1"/>
    <xf numFmtId="0" fontId="5" fillId="0" borderId="9" xfId="3" applyFont="1" applyBorder="1" applyAlignment="1">
      <alignment horizontal="center"/>
    </xf>
    <xf numFmtId="0" fontId="5" fillId="0" borderId="33" xfId="3" applyFont="1" applyBorder="1"/>
    <xf numFmtId="0" fontId="5" fillId="0" borderId="33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5" fillId="0" borderId="10" xfId="3" applyFont="1" applyBorder="1" applyAlignment="1">
      <alignment horizontal="center"/>
    </xf>
    <xf numFmtId="0" fontId="5" fillId="0" borderId="48" xfId="3" applyFont="1" applyBorder="1"/>
    <xf numFmtId="0" fontId="5" fillId="0" borderId="45" xfId="3" applyFont="1" applyBorder="1"/>
    <xf numFmtId="0" fontId="5" fillId="0" borderId="0" xfId="3" applyFont="1" applyAlignment="1">
      <alignment horizontal="center" vertical="center"/>
    </xf>
    <xf numFmtId="0" fontId="8" fillId="0" borderId="44" xfId="3" applyFont="1" applyBorder="1"/>
    <xf numFmtId="20" fontId="5" fillId="0" borderId="49" xfId="3" applyNumberFormat="1" applyFont="1" applyBorder="1"/>
    <xf numFmtId="20" fontId="5" fillId="0" borderId="50" xfId="3" applyNumberFormat="1" applyFont="1" applyBorder="1" applyAlignment="1">
      <alignment horizontal="center"/>
    </xf>
    <xf numFmtId="0" fontId="11" fillId="0" borderId="47" xfId="3" applyFont="1" applyBorder="1" applyAlignment="1">
      <alignment horizontal="center"/>
    </xf>
    <xf numFmtId="0" fontId="5" fillId="0" borderId="47" xfId="3" applyFont="1" applyBorder="1" applyAlignment="1">
      <alignment horizontal="center"/>
    </xf>
    <xf numFmtId="0" fontId="5" fillId="0" borderId="51" xfId="3" applyFont="1" applyBorder="1"/>
    <xf numFmtId="0" fontId="5" fillId="0" borderId="5" xfId="3" applyFont="1" applyBorder="1" applyAlignment="1">
      <alignment horizontal="left"/>
    </xf>
    <xf numFmtId="0" fontId="5" fillId="0" borderId="5" xfId="3" applyFont="1" applyBorder="1"/>
    <xf numFmtId="10" fontId="5" fillId="0" borderId="5" xfId="4" applyNumberFormat="1" applyFont="1" applyFill="1" applyBorder="1" applyAlignment="1">
      <alignment horizontal="center"/>
    </xf>
    <xf numFmtId="166" fontId="5" fillId="0" borderId="5" xfId="3" applyNumberFormat="1" applyFont="1" applyBorder="1" applyAlignment="1">
      <alignment horizontal="center"/>
    </xf>
    <xf numFmtId="0" fontId="12" fillId="0" borderId="10" xfId="3" applyFont="1" applyBorder="1" applyAlignment="1">
      <alignment horizontal="center" vertical="center"/>
    </xf>
    <xf numFmtId="0" fontId="5" fillId="4" borderId="17" xfId="3" applyFont="1" applyFill="1" applyBorder="1" applyAlignment="1" applyProtection="1">
      <alignment horizontal="center" vertical="center" wrapText="1"/>
      <protection locked="0"/>
    </xf>
    <xf numFmtId="0" fontId="6" fillId="3" borderId="25" xfId="3" applyFont="1" applyFill="1" applyBorder="1" applyAlignment="1" applyProtection="1">
      <alignment horizontal="center" vertical="center" wrapText="1"/>
      <protection locked="0"/>
    </xf>
    <xf numFmtId="0" fontId="5" fillId="4" borderId="9" xfId="3" applyFont="1" applyFill="1" applyBorder="1" applyAlignment="1" applyProtection="1">
      <alignment horizontal="center" vertical="center" wrapText="1"/>
      <protection locked="0"/>
    </xf>
    <xf numFmtId="0" fontId="8" fillId="0" borderId="18" xfId="3" applyFont="1" applyBorder="1" applyAlignment="1">
      <alignment vertical="center" wrapText="1"/>
    </xf>
    <xf numFmtId="0" fontId="10" fillId="0" borderId="12" xfId="3" applyFont="1" applyBorder="1" applyAlignment="1">
      <alignment vertical="center" wrapText="1"/>
    </xf>
    <xf numFmtId="0" fontId="10" fillId="0" borderId="5" xfId="3" applyFont="1" applyBorder="1" applyAlignment="1">
      <alignment vertical="center" wrapText="1"/>
    </xf>
    <xf numFmtId="0" fontId="10" fillId="0" borderId="5" xfId="3" applyFont="1" applyBorder="1" applyAlignment="1">
      <alignment horizontal="left" vertical="center" wrapText="1"/>
    </xf>
    <xf numFmtId="0" fontId="5" fillId="0" borderId="10" xfId="3" applyFont="1" applyBorder="1"/>
    <xf numFmtId="0" fontId="11" fillId="0" borderId="52" xfId="3" applyFont="1" applyBorder="1" applyAlignment="1">
      <alignment horizontal="left"/>
    </xf>
    <xf numFmtId="0" fontId="11" fillId="0" borderId="53" xfId="3" applyFont="1" applyBorder="1" applyAlignment="1">
      <alignment horizontal="center"/>
    </xf>
    <xf numFmtId="0" fontId="11" fillId="0" borderId="53" xfId="3" applyFont="1" applyBorder="1"/>
    <xf numFmtId="10" fontId="11" fillId="0" borderId="53" xfId="4" applyNumberFormat="1" applyFont="1" applyBorder="1" applyAlignment="1">
      <alignment horizontal="center"/>
    </xf>
    <xf numFmtId="164" fontId="10" fillId="3" borderId="52" xfId="2" applyFont="1" applyFill="1" applyBorder="1" applyAlignment="1">
      <alignment horizontal="center"/>
    </xf>
    <xf numFmtId="164" fontId="8" fillId="3" borderId="43" xfId="2" applyFont="1" applyFill="1" applyBorder="1" applyAlignment="1">
      <alignment horizontal="center" vertical="center"/>
    </xf>
    <xf numFmtId="0" fontId="11" fillId="0" borderId="12" xfId="3" applyFont="1" applyBorder="1"/>
    <xf numFmtId="0" fontId="11" fillId="0" borderId="5" xfId="3" applyFont="1" applyBorder="1"/>
    <xf numFmtId="0" fontId="11" fillId="0" borderId="5" xfId="3" applyFont="1" applyBorder="1" applyAlignment="1">
      <alignment horizontal="left"/>
    </xf>
    <xf numFmtId="0" fontId="11" fillId="0" borderId="5" xfId="3" applyFont="1" applyBorder="1" applyAlignment="1">
      <alignment horizontal="center"/>
    </xf>
    <xf numFmtId="10" fontId="11" fillId="0" borderId="5" xfId="4" applyNumberFormat="1" applyFont="1" applyFill="1" applyBorder="1" applyAlignment="1">
      <alignment horizontal="center"/>
    </xf>
    <xf numFmtId="164" fontId="10" fillId="0" borderId="5" xfId="2" applyFont="1" applyFill="1" applyBorder="1" applyAlignment="1">
      <alignment horizontal="center"/>
    </xf>
    <xf numFmtId="164" fontId="8" fillId="0" borderId="10" xfId="2" applyFont="1" applyFill="1" applyBorder="1" applyAlignment="1">
      <alignment horizontal="center" vertical="center"/>
    </xf>
    <xf numFmtId="0" fontId="5" fillId="0" borderId="14" xfId="3" applyFont="1" applyBorder="1" applyAlignment="1">
      <alignment horizontal="center"/>
    </xf>
    <xf numFmtId="0" fontId="5" fillId="0" borderId="0" xfId="3" applyFont="1" applyAlignment="1">
      <alignment horizontal="center"/>
    </xf>
    <xf numFmtId="0" fontId="5" fillId="0" borderId="36" xfId="3" applyFont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5" fillId="0" borderId="18" xfId="3" applyFont="1" applyBorder="1" applyAlignment="1" applyProtection="1">
      <alignment horizontal="center"/>
      <protection locked="0"/>
    </xf>
    <xf numFmtId="0" fontId="5" fillId="0" borderId="25" xfId="3" applyFont="1" applyBorder="1" applyAlignment="1" applyProtection="1">
      <alignment horizontal="center"/>
      <protection locked="0"/>
    </xf>
    <xf numFmtId="0" fontId="5" fillId="0" borderId="5" xfId="3" applyFont="1" applyBorder="1" applyAlignment="1" applyProtection="1">
      <alignment horizontal="center"/>
      <protection locked="0"/>
    </xf>
    <xf numFmtId="0" fontId="5" fillId="0" borderId="10" xfId="3" applyFont="1" applyBorder="1" applyAlignment="1" applyProtection="1">
      <alignment horizontal="center"/>
      <protection locked="0"/>
    </xf>
    <xf numFmtId="0" fontId="5" fillId="0" borderId="11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 wrapText="1"/>
    </xf>
    <xf numFmtId="0" fontId="5" fillId="0" borderId="14" xfId="3" applyFont="1" applyBorder="1" applyAlignment="1">
      <alignment horizontal="center" vertical="center" wrapText="1"/>
    </xf>
    <xf numFmtId="0" fontId="5" fillId="0" borderId="36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left"/>
    </xf>
    <xf numFmtId="0" fontId="8" fillId="7" borderId="36" xfId="3" applyFont="1" applyFill="1" applyBorder="1" applyAlignment="1">
      <alignment horizontal="center"/>
    </xf>
    <xf numFmtId="0" fontId="8" fillId="7" borderId="20" xfId="3" applyFont="1" applyFill="1" applyBorder="1" applyAlignment="1">
      <alignment horizontal="center"/>
    </xf>
    <xf numFmtId="0" fontId="8" fillId="7" borderId="21" xfId="3" applyFont="1" applyFill="1" applyBorder="1" applyAlignment="1">
      <alignment horizontal="center"/>
    </xf>
    <xf numFmtId="184" fontId="8" fillId="7" borderId="12" xfId="3" applyNumberFormat="1" applyFont="1" applyFill="1" applyBorder="1" applyAlignment="1">
      <alignment horizontal="center"/>
    </xf>
    <xf numFmtId="184" fontId="8" fillId="7" borderId="5" xfId="3" applyNumberFormat="1" applyFont="1" applyFill="1" applyBorder="1" applyAlignment="1">
      <alignment horizontal="center"/>
    </xf>
    <xf numFmtId="184" fontId="8" fillId="7" borderId="10" xfId="3" applyNumberFormat="1" applyFont="1" applyFill="1" applyBorder="1" applyAlignment="1">
      <alignment horizontal="center"/>
    </xf>
    <xf numFmtId="0" fontId="8" fillId="2" borderId="12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8" fillId="2" borderId="10" xfId="3" applyFont="1" applyFill="1" applyBorder="1" applyAlignment="1">
      <alignment horizontal="center"/>
    </xf>
    <xf numFmtId="0" fontId="5" fillId="0" borderId="23" xfId="3" applyFont="1" applyBorder="1" applyAlignment="1">
      <alignment horizontal="left"/>
    </xf>
    <xf numFmtId="0" fontId="8" fillId="7" borderId="12" xfId="3" applyFont="1" applyFill="1" applyBorder="1" applyAlignment="1">
      <alignment horizontal="center"/>
    </xf>
    <xf numFmtId="0" fontId="8" fillId="7" borderId="5" xfId="3" applyFont="1" applyFill="1" applyBorder="1" applyAlignment="1">
      <alignment horizontal="center"/>
    </xf>
    <xf numFmtId="0" fontId="8" fillId="7" borderId="10" xfId="3" applyFont="1" applyFill="1" applyBorder="1" applyAlignment="1">
      <alignment horizontal="center"/>
    </xf>
    <xf numFmtId="0" fontId="5" fillId="0" borderId="9" xfId="3" applyFont="1" applyBorder="1" applyAlignment="1">
      <alignment horizontal="center"/>
    </xf>
    <xf numFmtId="0" fontId="5" fillId="0" borderId="18" xfId="3" applyFont="1" applyBorder="1" applyAlignment="1">
      <alignment horizontal="center"/>
    </xf>
    <xf numFmtId="0" fontId="17" fillId="3" borderId="16" xfId="3" applyFont="1" applyFill="1" applyBorder="1" applyAlignment="1">
      <alignment horizontal="left"/>
    </xf>
    <xf numFmtId="0" fontId="8" fillId="5" borderId="23" xfId="3" applyFont="1" applyFill="1" applyBorder="1" applyAlignment="1">
      <alignment horizontal="center"/>
    </xf>
    <xf numFmtId="0" fontId="8" fillId="0" borderId="9" xfId="3" applyFont="1" applyBorder="1" applyAlignment="1">
      <alignment horizontal="center" vertical="center"/>
    </xf>
    <xf numFmtId="0" fontId="8" fillId="0" borderId="30" xfId="3" applyFont="1" applyBorder="1" applyAlignment="1">
      <alignment horizontal="center" vertical="center"/>
    </xf>
    <xf numFmtId="2" fontId="8" fillId="0" borderId="9" xfId="3" applyNumberFormat="1" applyFont="1" applyBorder="1" applyAlignment="1">
      <alignment horizontal="center" vertical="center"/>
    </xf>
    <xf numFmtId="2" fontId="8" fillId="0" borderId="36" xfId="3" applyNumberFormat="1" applyFont="1" applyBorder="1" applyAlignment="1">
      <alignment horizontal="center" vertical="center"/>
    </xf>
    <xf numFmtId="180" fontId="8" fillId="3" borderId="18" xfId="3" applyNumberFormat="1" applyFont="1" applyFill="1" applyBorder="1" applyAlignment="1" applyProtection="1">
      <alignment horizontal="center" vertical="center"/>
      <protection locked="0"/>
    </xf>
    <xf numFmtId="180" fontId="8" fillId="3" borderId="25" xfId="3" applyNumberFormat="1" applyFont="1" applyFill="1" applyBorder="1" applyAlignment="1" applyProtection="1">
      <alignment horizontal="center" vertical="center"/>
      <protection locked="0"/>
    </xf>
    <xf numFmtId="180" fontId="8" fillId="3" borderId="20" xfId="3" applyNumberFormat="1" applyFont="1" applyFill="1" applyBorder="1" applyAlignment="1" applyProtection="1">
      <alignment horizontal="center" vertical="center"/>
      <protection locked="0"/>
    </xf>
    <xf numFmtId="180" fontId="8" fillId="3" borderId="21" xfId="3" applyNumberFormat="1" applyFont="1" applyFill="1" applyBorder="1" applyAlignment="1" applyProtection="1">
      <alignment horizontal="center" vertical="center"/>
      <protection locked="0"/>
    </xf>
    <xf numFmtId="0" fontId="8" fillId="0" borderId="10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164" fontId="16" fillId="5" borderId="44" xfId="2" applyFont="1" applyFill="1" applyBorder="1" applyAlignment="1">
      <alignment horizontal="center"/>
    </xf>
    <xf numFmtId="164" fontId="16" fillId="5" borderId="29" xfId="2" applyFont="1" applyFill="1" applyBorder="1" applyAlignment="1">
      <alignment horizontal="center"/>
    </xf>
    <xf numFmtId="0" fontId="17" fillId="3" borderId="23" xfId="3" applyFont="1" applyFill="1" applyBorder="1" applyAlignment="1">
      <alignment horizontal="left"/>
    </xf>
    <xf numFmtId="0" fontId="5" fillId="0" borderId="16" xfId="3" applyFont="1" applyBorder="1" applyAlignment="1">
      <alignment horizontal="left"/>
    </xf>
    <xf numFmtId="170" fontId="8" fillId="2" borderId="35" xfId="3" applyNumberFormat="1" applyFont="1" applyFill="1" applyBorder="1" applyAlignment="1">
      <alignment horizontal="center" vertical="center"/>
    </xf>
    <xf numFmtId="170" fontId="8" fillId="2" borderId="20" xfId="3" applyNumberFormat="1" applyFont="1" applyFill="1" applyBorder="1" applyAlignment="1">
      <alignment horizontal="center" vertical="center"/>
    </xf>
    <xf numFmtId="170" fontId="8" fillId="2" borderId="37" xfId="3" applyNumberFormat="1" applyFont="1" applyFill="1" applyBorder="1" applyAlignment="1">
      <alignment horizontal="center" vertical="center"/>
    </xf>
    <xf numFmtId="170" fontId="8" fillId="5" borderId="12" xfId="3" applyNumberFormat="1" applyFont="1" applyFill="1" applyBorder="1" applyAlignment="1">
      <alignment horizontal="center" vertical="center"/>
    </xf>
    <xf numFmtId="170" fontId="8" fillId="5" borderId="5" xfId="3" applyNumberFormat="1" applyFont="1" applyFill="1" applyBorder="1" applyAlignment="1">
      <alignment horizontal="center" vertical="center"/>
    </xf>
    <xf numFmtId="170" fontId="8" fillId="5" borderId="6" xfId="3" applyNumberFormat="1" applyFont="1" applyFill="1" applyBorder="1" applyAlignment="1">
      <alignment horizontal="center" vertical="center"/>
    </xf>
    <xf numFmtId="10" fontId="8" fillId="2" borderId="11" xfId="4" applyNumberFormat="1" applyFont="1" applyFill="1" applyBorder="1" applyAlignment="1">
      <alignment horizontal="center" vertical="center" wrapText="1"/>
    </xf>
    <xf numFmtId="10" fontId="8" fillId="2" borderId="8" xfId="4" applyNumberFormat="1" applyFont="1" applyFill="1" applyBorder="1" applyAlignment="1">
      <alignment horizontal="center" vertical="center" wrapText="1"/>
    </xf>
    <xf numFmtId="10" fontId="8" fillId="2" borderId="23" xfId="4" applyNumberFormat="1" applyFont="1" applyFill="1" applyBorder="1" applyAlignment="1">
      <alignment horizontal="center" vertical="center" wrapText="1"/>
    </xf>
    <xf numFmtId="10" fontId="8" fillId="2" borderId="22" xfId="4" applyNumberFormat="1" applyFont="1" applyFill="1" applyBorder="1" applyAlignment="1">
      <alignment horizontal="center" vertical="center" wrapText="1"/>
    </xf>
    <xf numFmtId="10" fontId="8" fillId="2" borderId="24" xfId="4" applyNumberFormat="1" applyFont="1" applyFill="1" applyBorder="1" applyAlignment="1">
      <alignment horizontal="center" vertical="center" wrapText="1"/>
    </xf>
    <xf numFmtId="0" fontId="5" fillId="0" borderId="11" xfId="3" applyFont="1" applyBorder="1" applyAlignment="1">
      <alignment horizontal="right"/>
    </xf>
    <xf numFmtId="0" fontId="5" fillId="3" borderId="11" xfId="3" applyFont="1" applyFill="1" applyBorder="1" applyAlignment="1" applyProtection="1">
      <alignment horizontal="center"/>
      <protection locked="0"/>
    </xf>
    <xf numFmtId="0" fontId="5" fillId="3" borderId="12" xfId="3" applyFont="1" applyFill="1" applyBorder="1" applyAlignment="1" applyProtection="1">
      <alignment horizontal="center"/>
      <protection locked="0"/>
    </xf>
    <xf numFmtId="0" fontId="5" fillId="3" borderId="5" xfId="3" applyFont="1" applyFill="1" applyBorder="1" applyAlignment="1" applyProtection="1">
      <alignment horizontal="center"/>
      <protection locked="0"/>
    </xf>
    <xf numFmtId="0" fontId="5" fillId="3" borderId="10" xfId="3" applyFont="1" applyFill="1" applyBorder="1" applyAlignment="1" applyProtection="1">
      <alignment horizontal="center"/>
      <protection locked="0"/>
    </xf>
    <xf numFmtId="0" fontId="8" fillId="2" borderId="11" xfId="3" applyFont="1" applyFill="1" applyBorder="1" applyAlignment="1">
      <alignment horizontal="center"/>
    </xf>
    <xf numFmtId="14" fontId="6" fillId="3" borderId="25" xfId="3" applyNumberFormat="1" applyFont="1" applyFill="1" applyBorder="1" applyAlignment="1" applyProtection="1">
      <alignment horizontal="center"/>
      <protection locked="0"/>
    </xf>
    <xf numFmtId="14" fontId="6" fillId="3" borderId="22" xfId="3" applyNumberFormat="1" applyFont="1" applyFill="1" applyBorder="1" applyAlignment="1" applyProtection="1">
      <alignment horizontal="center"/>
      <protection locked="0"/>
    </xf>
    <xf numFmtId="0" fontId="4" fillId="2" borderId="1" xfId="3" applyFont="1" applyFill="1" applyBorder="1" applyAlignment="1">
      <alignment horizontal="center"/>
    </xf>
    <xf numFmtId="0" fontId="4" fillId="2" borderId="2" xfId="3" applyFont="1" applyFill="1" applyBorder="1" applyAlignment="1">
      <alignment horizontal="center"/>
    </xf>
    <xf numFmtId="0" fontId="4" fillId="2" borderId="3" xfId="3" applyFont="1" applyFill="1" applyBorder="1" applyAlignment="1">
      <alignment horizontal="center"/>
    </xf>
    <xf numFmtId="0" fontId="6" fillId="0" borderId="4" xfId="3" applyFont="1" applyBorder="1" applyAlignment="1">
      <alignment horizontal="center"/>
    </xf>
    <xf numFmtId="0" fontId="6" fillId="0" borderId="5" xfId="3" applyFont="1" applyBorder="1" applyAlignment="1">
      <alignment horizontal="center"/>
    </xf>
    <xf numFmtId="0" fontId="6" fillId="0" borderId="6" xfId="3" applyFont="1" applyBorder="1" applyAlignment="1">
      <alignment horizontal="center"/>
    </xf>
    <xf numFmtId="0" fontId="7" fillId="3" borderId="7" xfId="3" applyFont="1" applyFill="1" applyBorder="1" applyAlignment="1" applyProtection="1">
      <alignment horizontal="center" vertical="center" wrapText="1"/>
      <protection locked="0"/>
    </xf>
    <xf numFmtId="0" fontId="7" fillId="3" borderId="8" xfId="3" applyFont="1" applyFill="1" applyBorder="1" applyAlignment="1" applyProtection="1">
      <alignment horizontal="center" vertical="center" wrapText="1"/>
      <protection locked="0"/>
    </xf>
    <xf numFmtId="0" fontId="9" fillId="3" borderId="10" xfId="3" applyFont="1" applyFill="1" applyBorder="1" applyAlignment="1" applyProtection="1">
      <alignment horizontal="center" vertical="center" wrapText="1"/>
      <protection locked="0"/>
    </xf>
    <xf numFmtId="0" fontId="9" fillId="3" borderId="11" xfId="3" applyFont="1" applyFill="1" applyBorder="1" applyAlignment="1" applyProtection="1">
      <alignment horizontal="center" vertical="center" wrapText="1"/>
      <protection locked="0"/>
    </xf>
    <xf numFmtId="165" fontId="9" fillId="3" borderId="10" xfId="3" applyNumberFormat="1" applyFont="1" applyFill="1" applyBorder="1" applyAlignment="1" applyProtection="1">
      <alignment horizontal="center"/>
      <protection locked="0"/>
    </xf>
    <xf numFmtId="165" fontId="9" fillId="3" borderId="13" xfId="3" applyNumberFormat="1" applyFont="1" applyFill="1" applyBorder="1" applyAlignment="1" applyProtection="1">
      <alignment horizontal="center"/>
      <protection locked="0"/>
    </xf>
  </cellXfs>
  <cellStyles count="5">
    <cellStyle name="Moeda" xfId="2" builtinId="4"/>
    <cellStyle name="Normal" xfId="0" builtinId="0"/>
    <cellStyle name="Normal 2" xfId="3" xr:uid="{565DF055-D306-4811-B1C2-E599406F560D}"/>
    <cellStyle name="Porcentagem 2" xfId="4" xr:uid="{F8DB658D-8763-411B-8B7D-A327CA21ADBF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LGontijo\Meus%20documentos\Ufv\Laboratorio\Certificados\Concreto\Britador%20Sao%20Geraldo\Materiais%20%20Britador%20Sao%20Geral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0f1cb72af64db54/TRABALHOS%20EM%20ANDAMENTO/ECONCRETO/Controle%20Estat&#237;stico%20V8%20-%20at.%2004-09-2018%20-%20vers&#227;o%20V5%20Econcreto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lio/OneDrive/COMPARTILHADA/OneDrive-2019-07-29/setembro%202018/DPCON/MIX/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lio/OneDrive/CLIENTES/2019/ECONCRETO/2019/ECONCRETO%20-%20Resumo%20tra&#231;os%20TOPCON%2002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mento"/>
      <sheetName val="Ent Areia Nat"/>
      <sheetName val="Areia Nat"/>
      <sheetName val="Ent Inch Areia"/>
      <sheetName val="Inch Areia"/>
      <sheetName val="Ent Areia Ind"/>
      <sheetName val="Areia Ind"/>
      <sheetName val="Ent Inch Areia Ind"/>
      <sheetName val="Inch Areia Ind"/>
      <sheetName val="Entrada Brita 1"/>
      <sheetName val="Brita 1"/>
      <sheetName val="Ent Areia Ind (2)"/>
      <sheetName val="Areia Ind (2)"/>
      <sheetName val="Tipos de cimento"/>
      <sheetName val="Fabricas &amp; Fabricantes de cimen"/>
      <sheetName val="Fabricantes de aditivo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(2)"/>
      <sheetName val="base (3)"/>
      <sheetName val="base (Econcreto)"/>
      <sheetName val="Planilha3"/>
      <sheetName val="TD Detalhada"/>
      <sheetName val="TD Geral"/>
      <sheetName val="NBR - Geral"/>
      <sheetName val="Sd Motorista e CB"/>
      <sheetName val="Apoio 1"/>
      <sheetName val="Apoio 2"/>
      <sheetName val="base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!"/>
      <sheetName val="Dashboard"/>
      <sheetName val="Planner"/>
      <sheetName val="Master Dat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 AGREGADOS"/>
      <sheetName val="TESTE 1"/>
      <sheetName val="argamassa AAN (MAir701)"/>
      <sheetName val="argamassa AAN (Gethal)"/>
      <sheetName val="argamassa AAN AD"/>
      <sheetName val="CALC"/>
      <sheetName val="RESUMO traço cliente"/>
      <sheetName val="RESUMO"/>
      <sheetName val="GERAL"/>
      <sheetName val="FILTROS"/>
      <sheetName val="CONCRETO"/>
      <sheetName val="Planilha1"/>
      <sheetName val="BR150"/>
      <sheetName val="TRAÇO"/>
      <sheetName val="TRAÇO 2"/>
      <sheetName val="modelo Celso"/>
      <sheetName val="BR150 2"/>
      <sheetName val="BR150 (atual)"/>
      <sheetName val="26-06-2019"/>
      <sheetName val="PISO"/>
      <sheetName val="Planilha3"/>
      <sheetName val="PARÂMETROS"/>
      <sheetName val="TABELA"/>
      <sheetName val="Cadastro traços"/>
      <sheetName val="B01"/>
      <sheetName val="B0"/>
      <sheetName val="B1"/>
      <sheetName val="PISO (2)"/>
      <sheetName val="New - Table"/>
      <sheetName val="MATRIZ - A"/>
      <sheetName val="MATRIZ - WORD"/>
      <sheetName val="Togo"/>
      <sheetName val="HOLCIM 108"/>
      <sheetName val="Planilha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D2F2-3C74-4F09-9CC7-DB2221ED8931}">
  <sheetPr>
    <tabColor theme="1" tint="0.499984740745262"/>
    <pageSetUpPr fitToPage="1"/>
  </sheetPr>
  <dimension ref="A1:N71"/>
  <sheetViews>
    <sheetView showGridLines="0" tabSelected="1" topLeftCell="A20" zoomScaleNormal="100" zoomScaleSheetLayoutView="100" workbookViewId="0">
      <selection activeCell="D30" sqref="D30"/>
    </sheetView>
  </sheetViews>
  <sheetFormatPr defaultRowHeight="15.75" customHeight="1" x14ac:dyDescent="0.25"/>
  <cols>
    <col min="1" max="1" width="10" style="1" customWidth="1"/>
    <col min="2" max="2" width="11.7109375" style="1" bestFit="1" customWidth="1"/>
    <col min="3" max="3" width="14.42578125" style="1" customWidth="1"/>
    <col min="4" max="4" width="13.140625" style="1" customWidth="1"/>
    <col min="5" max="5" width="12.140625" style="1" bestFit="1" customWidth="1"/>
    <col min="6" max="6" width="13.140625" style="1" customWidth="1"/>
    <col min="7" max="7" width="17.42578125" style="1" bestFit="1" customWidth="1"/>
    <col min="8" max="8" width="13.7109375" style="1" customWidth="1"/>
    <col min="9" max="9" width="14.7109375" style="1" bestFit="1" customWidth="1"/>
    <col min="10" max="10" width="18.42578125" style="1" bestFit="1" customWidth="1"/>
    <col min="11" max="11" width="15.140625" style="1" bestFit="1" customWidth="1"/>
    <col min="12" max="12" width="10" style="1" customWidth="1"/>
    <col min="13" max="16384" width="9.140625" style="1"/>
  </cols>
  <sheetData>
    <row r="1" spans="1:11" ht="23.25" x14ac:dyDescent="0.35">
      <c r="A1" s="239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1"/>
    </row>
    <row r="2" spans="1:11" ht="15.75" customHeight="1" x14ac:dyDescent="0.25">
      <c r="A2" s="242" t="s">
        <v>1</v>
      </c>
      <c r="B2" s="243"/>
      <c r="C2" s="243"/>
      <c r="D2" s="243"/>
      <c r="E2" s="243"/>
      <c r="F2" s="243"/>
      <c r="G2" s="243"/>
      <c r="H2" s="243"/>
      <c r="I2" s="243"/>
      <c r="J2" s="243"/>
      <c r="K2" s="244"/>
    </row>
    <row r="3" spans="1:11" ht="15.75" customHeight="1" x14ac:dyDescent="0.3">
      <c r="A3" s="245" t="s">
        <v>133</v>
      </c>
      <c r="B3" s="246"/>
      <c r="C3" s="246"/>
      <c r="D3" s="246"/>
      <c r="E3" s="2" t="s">
        <v>2</v>
      </c>
      <c r="F3" s="247" t="s">
        <v>134</v>
      </c>
      <c r="G3" s="248"/>
      <c r="H3" s="248"/>
      <c r="I3" s="3" t="s">
        <v>3</v>
      </c>
      <c r="J3" s="249"/>
      <c r="K3" s="250"/>
    </row>
    <row r="4" spans="1:11" ht="15.75" customHeight="1" x14ac:dyDescent="0.25">
      <c r="A4" s="155" t="s">
        <v>4</v>
      </c>
      <c r="B4" s="156">
        <v>40</v>
      </c>
      <c r="C4" s="157" t="s">
        <v>5</v>
      </c>
      <c r="D4" s="156">
        <v>750</v>
      </c>
      <c r="E4" s="157" t="s">
        <v>6</v>
      </c>
      <c r="F4" s="156" t="s">
        <v>135</v>
      </c>
      <c r="G4" s="136" t="s">
        <v>8</v>
      </c>
      <c r="H4" s="156" t="s">
        <v>136</v>
      </c>
      <c r="I4" s="158" t="s">
        <v>9</v>
      </c>
      <c r="J4" s="237">
        <v>45706</v>
      </c>
      <c r="K4" s="238"/>
    </row>
    <row r="5" spans="1:11" ht="3" customHeight="1" x14ac:dyDescent="0.25">
      <c r="A5" s="159"/>
      <c r="B5" s="160"/>
      <c r="C5" s="161"/>
      <c r="D5" s="161"/>
      <c r="E5" s="161"/>
      <c r="F5" s="161"/>
      <c r="G5" s="161"/>
      <c r="H5" s="161"/>
      <c r="I5" s="161"/>
      <c r="J5" s="161"/>
      <c r="K5" s="162"/>
    </row>
    <row r="6" spans="1:11" ht="15.75" customHeight="1" x14ac:dyDescent="0.25">
      <c r="A6" s="236" t="s">
        <v>10</v>
      </c>
      <c r="B6" s="236"/>
      <c r="C6" s="236" t="s">
        <v>11</v>
      </c>
      <c r="D6" s="236"/>
      <c r="E6" s="236"/>
      <c r="F6" s="118" t="s">
        <v>12</v>
      </c>
      <c r="G6" s="117" t="s">
        <v>13</v>
      </c>
      <c r="H6" s="117" t="s">
        <v>11</v>
      </c>
      <c r="I6" s="118" t="s">
        <v>14</v>
      </c>
      <c r="J6" s="118" t="s">
        <v>15</v>
      </c>
      <c r="K6" s="118" t="s">
        <v>16</v>
      </c>
    </row>
    <row r="7" spans="1:11" ht="15.75" customHeight="1" x14ac:dyDescent="0.25">
      <c r="A7" s="231" t="s">
        <v>8</v>
      </c>
      <c r="B7" s="231"/>
      <c r="C7" s="232" t="s">
        <v>139</v>
      </c>
      <c r="D7" s="232"/>
      <c r="E7" s="232"/>
      <c r="F7" s="4">
        <v>3.1</v>
      </c>
      <c r="G7" s="5"/>
      <c r="H7" s="5"/>
      <c r="I7" s="6">
        <v>440</v>
      </c>
      <c r="J7" s="7"/>
      <c r="K7" s="7">
        <f>SUM(I7:J7)</f>
        <v>440</v>
      </c>
    </row>
    <row r="8" spans="1:11" ht="15.75" customHeight="1" x14ac:dyDescent="0.25">
      <c r="A8" s="231" t="s">
        <v>17</v>
      </c>
      <c r="B8" s="231"/>
      <c r="C8" s="232" t="s">
        <v>18</v>
      </c>
      <c r="D8" s="232"/>
      <c r="E8" s="232"/>
      <c r="F8" s="4">
        <v>2.65</v>
      </c>
      <c r="G8" s="5" t="s">
        <v>19</v>
      </c>
      <c r="H8" s="5"/>
      <c r="I8" s="6">
        <v>73</v>
      </c>
      <c r="J8" s="7"/>
      <c r="K8" s="7">
        <f t="shared" ref="K8:K14" si="0">SUM(I8:J8)</f>
        <v>73</v>
      </c>
    </row>
    <row r="9" spans="1:11" ht="15.75" customHeight="1" x14ac:dyDescent="0.25">
      <c r="A9" s="231" t="s">
        <v>20</v>
      </c>
      <c r="B9" s="231"/>
      <c r="C9" s="232" t="s">
        <v>21</v>
      </c>
      <c r="D9" s="232"/>
      <c r="E9" s="232"/>
      <c r="F9" s="4">
        <v>2.72</v>
      </c>
      <c r="G9" s="5">
        <v>2.85</v>
      </c>
      <c r="H9" s="5"/>
      <c r="I9" s="6">
        <v>56.05</v>
      </c>
      <c r="J9" s="7"/>
      <c r="K9" s="7">
        <f t="shared" si="0"/>
        <v>56.05</v>
      </c>
    </row>
    <row r="10" spans="1:11" ht="15.75" customHeight="1" x14ac:dyDescent="0.25">
      <c r="A10" s="231" t="s">
        <v>22</v>
      </c>
      <c r="B10" s="231"/>
      <c r="C10" s="233" t="s">
        <v>23</v>
      </c>
      <c r="D10" s="234"/>
      <c r="E10" s="235"/>
      <c r="F10" s="4">
        <v>2.72</v>
      </c>
      <c r="G10" s="5" t="s">
        <v>24</v>
      </c>
      <c r="H10" s="5"/>
      <c r="I10" s="6">
        <v>53.91</v>
      </c>
      <c r="J10" s="7"/>
      <c r="K10" s="7">
        <f t="shared" si="0"/>
        <v>53.91</v>
      </c>
    </row>
    <row r="11" spans="1:11" ht="15.75" customHeight="1" x14ac:dyDescent="0.25">
      <c r="A11" s="231" t="s">
        <v>25</v>
      </c>
      <c r="B11" s="231"/>
      <c r="C11" s="233" t="s">
        <v>26</v>
      </c>
      <c r="D11" s="234"/>
      <c r="E11" s="235"/>
      <c r="F11" s="4">
        <v>2.72</v>
      </c>
      <c r="G11" s="5" t="s">
        <v>7</v>
      </c>
      <c r="H11" s="5"/>
      <c r="I11" s="6">
        <v>47.51</v>
      </c>
      <c r="J11" s="7"/>
      <c r="K11" s="7">
        <f t="shared" si="0"/>
        <v>47.51</v>
      </c>
    </row>
    <row r="12" spans="1:11" ht="15.75" customHeight="1" x14ac:dyDescent="0.25">
      <c r="A12" s="231" t="s">
        <v>27</v>
      </c>
      <c r="B12" s="231"/>
      <c r="C12" s="233" t="s">
        <v>138</v>
      </c>
      <c r="D12" s="234"/>
      <c r="E12" s="235"/>
      <c r="F12" s="4">
        <v>1.1000000000000001</v>
      </c>
      <c r="G12" s="5" t="s">
        <v>137</v>
      </c>
      <c r="H12" s="5"/>
      <c r="I12" s="8">
        <v>12</v>
      </c>
      <c r="J12" s="7"/>
      <c r="K12" s="7">
        <f t="shared" si="0"/>
        <v>12</v>
      </c>
    </row>
    <row r="13" spans="1:11" ht="15.75" customHeight="1" x14ac:dyDescent="0.25">
      <c r="A13" s="231" t="s">
        <v>28</v>
      </c>
      <c r="B13" s="231"/>
      <c r="C13" s="233" t="s">
        <v>140</v>
      </c>
      <c r="D13" s="234"/>
      <c r="E13" s="235"/>
      <c r="F13" s="4">
        <v>1.06</v>
      </c>
      <c r="G13" s="5" t="s">
        <v>141</v>
      </c>
      <c r="H13" s="5"/>
      <c r="I13" s="9">
        <v>6.5</v>
      </c>
      <c r="J13" s="7"/>
      <c r="K13" s="7">
        <f t="shared" si="0"/>
        <v>6.5</v>
      </c>
    </row>
    <row r="14" spans="1:11" ht="15.75" customHeight="1" x14ac:dyDescent="0.25">
      <c r="A14" s="231" t="s">
        <v>29</v>
      </c>
      <c r="B14" s="231"/>
      <c r="C14" s="233" t="s">
        <v>30</v>
      </c>
      <c r="D14" s="234"/>
      <c r="E14" s="235"/>
      <c r="F14" s="10">
        <v>2.2000000000000002</v>
      </c>
      <c r="G14" s="5"/>
      <c r="H14" s="5"/>
      <c r="I14" s="11">
        <v>1.35</v>
      </c>
      <c r="J14" s="7"/>
      <c r="K14" s="7">
        <f t="shared" si="0"/>
        <v>1.35</v>
      </c>
    </row>
    <row r="15" spans="1:11" ht="15.75" customHeight="1" x14ac:dyDescent="0.25">
      <c r="A15" s="231" t="s">
        <v>31</v>
      </c>
      <c r="B15" s="231"/>
      <c r="C15" s="233"/>
      <c r="D15" s="234"/>
      <c r="E15" s="235"/>
      <c r="F15" s="4">
        <v>1</v>
      </c>
      <c r="G15" s="5"/>
      <c r="H15" s="5"/>
      <c r="I15" s="9"/>
      <c r="J15" s="7"/>
      <c r="K15" s="7">
        <f>SUM(I15:J15)</f>
        <v>0</v>
      </c>
    </row>
    <row r="16" spans="1:11" ht="15.75" customHeight="1" x14ac:dyDescent="0.25">
      <c r="A16" s="231" t="s">
        <v>32</v>
      </c>
      <c r="B16" s="231"/>
      <c r="C16" s="232" t="s">
        <v>33</v>
      </c>
      <c r="D16" s="232"/>
      <c r="E16" s="232"/>
      <c r="F16" s="4">
        <v>2.5499999999999998</v>
      </c>
      <c r="G16" s="5" t="s">
        <v>34</v>
      </c>
      <c r="H16" s="5"/>
      <c r="I16" s="9">
        <v>25</v>
      </c>
      <c r="J16" s="7"/>
      <c r="K16" s="7">
        <f>SUM(I16:J16)</f>
        <v>25</v>
      </c>
    </row>
    <row r="17" spans="1:14" ht="15.75" customHeight="1" x14ac:dyDescent="0.25">
      <c r="A17" s="231" t="s">
        <v>35</v>
      </c>
      <c r="B17" s="231"/>
      <c r="C17" s="232" t="s">
        <v>36</v>
      </c>
      <c r="D17" s="232"/>
      <c r="E17" s="232"/>
      <c r="F17" s="4">
        <v>2.2000000000000002</v>
      </c>
      <c r="G17" s="5" t="s">
        <v>37</v>
      </c>
      <c r="H17" s="5"/>
      <c r="I17" s="6">
        <f>867/75</f>
        <v>11.56</v>
      </c>
      <c r="J17" s="7"/>
      <c r="K17" s="7">
        <f>SUM(I17:J17)</f>
        <v>11.56</v>
      </c>
    </row>
    <row r="18" spans="1:14" ht="3" customHeight="1" x14ac:dyDescent="0.25">
      <c r="A18" s="85"/>
      <c r="B18" s="150"/>
      <c r="C18" s="150"/>
      <c r="D18" s="150"/>
      <c r="E18" s="150"/>
      <c r="F18" s="86"/>
      <c r="G18" s="151"/>
      <c r="H18" s="152"/>
      <c r="I18" s="86"/>
      <c r="J18" s="153"/>
      <c r="K18" s="154"/>
    </row>
    <row r="19" spans="1:14" ht="15.75" customHeight="1" x14ac:dyDescent="0.25">
      <c r="A19" s="220" t="s">
        <v>38</v>
      </c>
      <c r="B19" s="221"/>
      <c r="C19" s="221"/>
      <c r="D19" s="221"/>
      <c r="E19" s="221"/>
      <c r="F19" s="221"/>
      <c r="G19" s="221"/>
      <c r="H19" s="221"/>
      <c r="I19" s="221"/>
      <c r="J19" s="221"/>
      <c r="K19" s="222"/>
      <c r="L19" s="13"/>
    </row>
    <row r="20" spans="1:14" ht="15.75" customHeight="1" x14ac:dyDescent="0.25">
      <c r="A20" s="14" t="s">
        <v>39</v>
      </c>
      <c r="B20" s="15"/>
      <c r="C20" s="15"/>
      <c r="D20" s="16">
        <v>1000</v>
      </c>
      <c r="E20" s="223" t="s">
        <v>40</v>
      </c>
      <c r="F20" s="224"/>
      <c r="G20" s="224"/>
      <c r="H20" s="224"/>
      <c r="I20" s="224"/>
      <c r="J20" s="224"/>
      <c r="K20" s="225"/>
    </row>
    <row r="21" spans="1:14" ht="15.75" customHeight="1" x14ac:dyDescent="0.25">
      <c r="A21" s="17" t="s">
        <v>41</v>
      </c>
      <c r="B21" s="18">
        <v>0.7</v>
      </c>
      <c r="C21" s="19" t="s">
        <v>42</v>
      </c>
      <c r="D21" s="20">
        <f>1-B21</f>
        <v>0.30000000000000004</v>
      </c>
      <c r="E21" s="226" t="s">
        <v>10</v>
      </c>
      <c r="F21" s="226"/>
      <c r="G21" s="226" t="s">
        <v>43</v>
      </c>
      <c r="H21" s="226" t="s">
        <v>44</v>
      </c>
      <c r="I21" s="226" t="s">
        <v>45</v>
      </c>
      <c r="J21" s="227" t="s">
        <v>46</v>
      </c>
      <c r="K21" s="229" t="s">
        <v>47</v>
      </c>
    </row>
    <row r="22" spans="1:14" ht="15.75" customHeight="1" x14ac:dyDescent="0.25">
      <c r="A22" s="17" t="s">
        <v>48</v>
      </c>
      <c r="B22" s="21">
        <v>1</v>
      </c>
      <c r="C22" s="19" t="s">
        <v>49</v>
      </c>
      <c r="D22" s="22">
        <f>1-B22</f>
        <v>0</v>
      </c>
      <c r="E22" s="226"/>
      <c r="F22" s="226"/>
      <c r="G22" s="226"/>
      <c r="H22" s="226"/>
      <c r="I22" s="226"/>
      <c r="J22" s="228"/>
      <c r="K22" s="230"/>
    </row>
    <row r="23" spans="1:14" ht="15.75" customHeight="1" x14ac:dyDescent="0.25">
      <c r="A23" s="23" t="s">
        <v>50</v>
      </c>
      <c r="B23" s="24"/>
      <c r="C23" s="24"/>
      <c r="D23" s="25"/>
      <c r="E23" s="188" t="str">
        <f>C7</f>
        <v>CPV  (Barroso)  - CSN</v>
      </c>
      <c r="F23" s="188"/>
      <c r="G23" s="26">
        <v>1</v>
      </c>
      <c r="H23" s="27">
        <f>D27*(100%-$L$19)</f>
        <v>385</v>
      </c>
      <c r="I23" s="28">
        <f>H23/F7</f>
        <v>124.19354838709677</v>
      </c>
      <c r="J23" s="6">
        <f>K7</f>
        <v>440</v>
      </c>
      <c r="K23" s="29">
        <f t="shared" ref="K23:K28" si="1">J23/1000*H23</f>
        <v>169.4</v>
      </c>
    </row>
    <row r="24" spans="1:14" ht="15.75" customHeight="1" x14ac:dyDescent="0.25">
      <c r="A24" s="17" t="s">
        <v>51</v>
      </c>
      <c r="B24" s="30">
        <f>F8*B21+F9*D21</f>
        <v>2.6709999999999998</v>
      </c>
      <c r="C24" s="19" t="s">
        <v>52</v>
      </c>
      <c r="D24" s="31">
        <f>F10*B22+F11*D22</f>
        <v>2.72</v>
      </c>
      <c r="E24" s="188" t="str">
        <f>C8</f>
        <v>AREIA QUARTZO</v>
      </c>
      <c r="F24" s="188"/>
      <c r="G24" s="32">
        <f>C39</f>
        <v>1.4699994531358287</v>
      </c>
      <c r="H24" s="27">
        <f>G24*($D$27+$D$28+$D$29)*(100%-L19)</f>
        <v>605.63977469196141</v>
      </c>
      <c r="I24" s="28">
        <f>H24/F8</f>
        <v>228.54331120451374</v>
      </c>
      <c r="J24" s="6">
        <f>K8</f>
        <v>73</v>
      </c>
      <c r="K24" s="29">
        <f t="shared" si="1"/>
        <v>44.211703552513178</v>
      </c>
      <c r="N24" s="1">
        <f>D20-((D26*D20)+(B33+D33))</f>
        <v>975.86586620926244</v>
      </c>
    </row>
    <row r="25" spans="1:14" ht="15.75" customHeight="1" x14ac:dyDescent="0.25">
      <c r="A25" s="23" t="s">
        <v>53</v>
      </c>
      <c r="B25" s="24"/>
      <c r="C25" s="24"/>
      <c r="D25" s="33">
        <v>0.6</v>
      </c>
      <c r="E25" s="188" t="str">
        <f>C9</f>
        <v>AREIA ARTIFICIAL</v>
      </c>
      <c r="F25" s="188"/>
      <c r="G25" s="32">
        <f>C40</f>
        <v>0.629999765629641</v>
      </c>
      <c r="H25" s="27">
        <f>G25*($D$27+$D$28+$D$29)*(100%-L19)</f>
        <v>259.5599034394121</v>
      </c>
      <c r="I25" s="28">
        <f>H25/F9</f>
        <v>95.426435088019147</v>
      </c>
      <c r="J25" s="6">
        <f>K9</f>
        <v>56.05</v>
      </c>
      <c r="K25" s="29">
        <f t="shared" si="1"/>
        <v>14.548332587779047</v>
      </c>
    </row>
    <row r="26" spans="1:14" ht="15.75" customHeight="1" x14ac:dyDescent="0.25">
      <c r="A26" s="23" t="s">
        <v>54</v>
      </c>
      <c r="B26" s="24"/>
      <c r="C26" s="24"/>
      <c r="D26" s="34">
        <v>0.02</v>
      </c>
      <c r="E26" s="188" t="str">
        <f>C10</f>
        <v>BRITA 0</v>
      </c>
      <c r="F26" s="188"/>
      <c r="G26" s="32">
        <f>C42</f>
        <v>2.0666661458436466</v>
      </c>
      <c r="H26" s="27">
        <f>G26*($D$27+$D$28+$D$29)*(100%-L19)</f>
        <v>851.46645208758241</v>
      </c>
      <c r="I26" s="28">
        <f>H26/F10</f>
        <v>313.03913679690527</v>
      </c>
      <c r="J26" s="6">
        <f>K10</f>
        <v>53.91</v>
      </c>
      <c r="K26" s="29">
        <f t="shared" si="1"/>
        <v>45.902556432041564</v>
      </c>
    </row>
    <row r="27" spans="1:14" ht="15.75" customHeight="1" x14ac:dyDescent="0.25">
      <c r="A27" s="23" t="s">
        <v>55</v>
      </c>
      <c r="B27" s="35">
        <v>0.5</v>
      </c>
      <c r="C27" s="36" t="s">
        <v>56</v>
      </c>
      <c r="D27" s="37">
        <v>385</v>
      </c>
      <c r="E27" s="188" t="str">
        <f>C11</f>
        <v>BRITA 1</v>
      </c>
      <c r="F27" s="188"/>
      <c r="G27" s="32">
        <f>C43</f>
        <v>0</v>
      </c>
      <c r="H27" s="27">
        <f>G27*($D$27+$D$28+$D$29)*(100%-L19)</f>
        <v>0</v>
      </c>
      <c r="I27" s="28">
        <f>H27/F11</f>
        <v>0</v>
      </c>
      <c r="J27" s="6">
        <f>K11</f>
        <v>47.51</v>
      </c>
      <c r="K27" s="29">
        <f t="shared" si="1"/>
        <v>0</v>
      </c>
    </row>
    <row r="28" spans="1:14" ht="15.75" customHeight="1" x14ac:dyDescent="0.25">
      <c r="A28" s="23" t="s">
        <v>57</v>
      </c>
      <c r="B28" s="38">
        <v>0</v>
      </c>
      <c r="C28" s="36" t="s">
        <v>58</v>
      </c>
      <c r="D28" s="39">
        <v>27</v>
      </c>
      <c r="E28" s="188" t="s">
        <v>59</v>
      </c>
      <c r="F28" s="188"/>
      <c r="G28" s="32">
        <f>B27</f>
        <v>0.5</v>
      </c>
      <c r="H28" s="27">
        <f>G28*($D$27+$D$28+$D$29)*(100%-L19)</f>
        <v>206</v>
      </c>
      <c r="I28" s="28">
        <f>H28</f>
        <v>206</v>
      </c>
      <c r="J28" s="6">
        <v>1</v>
      </c>
      <c r="K28" s="29">
        <f t="shared" si="1"/>
        <v>0.20600000000000002</v>
      </c>
    </row>
    <row r="29" spans="1:14" ht="15.75" customHeight="1" x14ac:dyDescent="0.25">
      <c r="A29" s="23" t="s">
        <v>60</v>
      </c>
      <c r="B29" s="40">
        <f>B27*(D27+D28+D29)</f>
        <v>206</v>
      </c>
      <c r="C29" s="36" t="s">
        <v>61</v>
      </c>
      <c r="D29" s="37">
        <v>0</v>
      </c>
      <c r="E29" s="188" t="str">
        <f>C12</f>
        <v xml:space="preserve">CQ FLOW </v>
      </c>
      <c r="F29" s="188"/>
      <c r="G29" s="41">
        <f>B32</f>
        <v>0.01</v>
      </c>
      <c r="H29" s="42">
        <f>G29*($D$27+$D$28+$D$29)*(100%-L19)</f>
        <v>4.12</v>
      </c>
      <c r="I29" s="28">
        <f>H29/F12</f>
        <v>3.7454545454545451</v>
      </c>
      <c r="J29" s="6">
        <f>K12</f>
        <v>12</v>
      </c>
      <c r="K29" s="29">
        <f>J29*H29</f>
        <v>49.44</v>
      </c>
    </row>
    <row r="30" spans="1:14" ht="15.75" customHeight="1" x14ac:dyDescent="0.25">
      <c r="A30" s="23" t="s">
        <v>62</v>
      </c>
      <c r="B30" s="43">
        <v>0</v>
      </c>
      <c r="C30" s="36" t="s">
        <v>63</v>
      </c>
      <c r="D30" s="44">
        <v>0</v>
      </c>
      <c r="E30" s="188" t="str">
        <f>C13</f>
        <v>Modificador de viscosidade</v>
      </c>
      <c r="F30" s="188"/>
      <c r="G30" s="41">
        <f>D32</f>
        <v>1E-3</v>
      </c>
      <c r="H30" s="42">
        <f>IF(G30&gt;0,G30*$H$23*100%-(L19),G30*$H$23*100%)</f>
        <v>0.38500000000000001</v>
      </c>
      <c r="I30" s="28">
        <f>H30/F13</f>
        <v>0.3632075471698113</v>
      </c>
      <c r="J30" s="6">
        <f>K13</f>
        <v>6.5</v>
      </c>
      <c r="K30" s="29">
        <f>J30*H30</f>
        <v>2.5024999999999999</v>
      </c>
    </row>
    <row r="31" spans="1:14" ht="15.75" customHeight="1" x14ac:dyDescent="0.25">
      <c r="A31" s="23" t="s">
        <v>64</v>
      </c>
      <c r="B31" s="40"/>
      <c r="C31" s="45"/>
      <c r="D31" s="46"/>
      <c r="E31" s="188" t="str">
        <f>C14</f>
        <v>Micro sílica</v>
      </c>
      <c r="F31" s="188"/>
      <c r="G31" s="41">
        <f>D28/D27</f>
        <v>7.0129870129870125E-2</v>
      </c>
      <c r="H31" s="42">
        <f>G31*D27</f>
        <v>27</v>
      </c>
      <c r="I31" s="28">
        <f>H31/F14</f>
        <v>12.272727272727272</v>
      </c>
      <c r="J31" s="6">
        <f>K14</f>
        <v>1.35</v>
      </c>
      <c r="K31" s="29">
        <f>J31/1000*H31</f>
        <v>3.6450000000000003E-2</v>
      </c>
      <c r="L31" s="47"/>
    </row>
    <row r="32" spans="1:14" s="47" customFormat="1" ht="15.75" customHeight="1" x14ac:dyDescent="0.25">
      <c r="A32" s="17" t="s">
        <v>65</v>
      </c>
      <c r="B32" s="48">
        <v>0.01</v>
      </c>
      <c r="C32" s="19" t="s">
        <v>66</v>
      </c>
      <c r="D32" s="49">
        <v>1E-3</v>
      </c>
      <c r="E32" s="188">
        <f>C15</f>
        <v>0</v>
      </c>
      <c r="F32" s="188"/>
      <c r="G32" s="41">
        <f>H32/H23</f>
        <v>0</v>
      </c>
      <c r="H32" s="42">
        <f>D29*(100%-L19)</f>
        <v>0</v>
      </c>
      <c r="I32" s="28">
        <f>H32/F15</f>
        <v>0</v>
      </c>
      <c r="J32" s="6">
        <f>K15</f>
        <v>0</v>
      </c>
      <c r="K32" s="29">
        <f>J32/1000*H32</f>
        <v>0</v>
      </c>
    </row>
    <row r="33" spans="1:12" s="47" customFormat="1" ht="15.75" customHeight="1" thickBot="1" x14ac:dyDescent="0.3">
      <c r="A33" s="17" t="s">
        <v>67</v>
      </c>
      <c r="B33" s="50">
        <f>(SUM($D$27:$D$29)*B32/$F12)</f>
        <v>3.7454545454545451</v>
      </c>
      <c r="C33" s="19" t="s">
        <v>68</v>
      </c>
      <c r="D33" s="51">
        <f>(SUM($D$27:$D$29)*D32/$F13)</f>
        <v>0.38867924528301889</v>
      </c>
      <c r="E33" s="219" t="s">
        <v>69</v>
      </c>
      <c r="F33" s="219"/>
      <c r="G33" s="52">
        <f>D26</f>
        <v>0.02</v>
      </c>
      <c r="H33" s="53"/>
      <c r="I33" s="54">
        <f>H33/F16</f>
        <v>0</v>
      </c>
      <c r="J33" s="12"/>
      <c r="K33" s="55">
        <f t="shared" ref="K33" si="2">J33*H33</f>
        <v>0</v>
      </c>
    </row>
    <row r="34" spans="1:12" ht="15.75" customHeight="1" thickTop="1" x14ac:dyDescent="0.25">
      <c r="A34" s="23" t="s">
        <v>70</v>
      </c>
      <c r="B34" s="24"/>
      <c r="C34" s="24"/>
      <c r="D34" s="25"/>
      <c r="E34" s="218" t="str">
        <f>C16</f>
        <v>Micro fibra de vidro 12mm</v>
      </c>
      <c r="F34" s="218"/>
      <c r="G34" s="33">
        <v>1.8749999999999999E-3</v>
      </c>
      <c r="H34" s="56">
        <f>G34*$H$23*(100%-L19)</f>
        <v>0.72187499999999993</v>
      </c>
      <c r="I34" s="57">
        <f>H34/L34</f>
        <v>0.72187499999999993</v>
      </c>
      <c r="J34" s="58">
        <f>I16</f>
        <v>25</v>
      </c>
      <c r="K34" s="59">
        <f>J34*H34</f>
        <v>18.046875</v>
      </c>
      <c r="L34" s="60">
        <v>1</v>
      </c>
    </row>
    <row r="35" spans="1:12" s="47" customFormat="1" ht="15.75" customHeight="1" thickBot="1" x14ac:dyDescent="0.3">
      <c r="A35" s="61" t="s">
        <v>71</v>
      </c>
      <c r="B35" s="62">
        <f>(((D24*D25)+(B24*(1-D25)))/(B24*D24)*1000)/1000</f>
        <v>0.3716937917061246</v>
      </c>
      <c r="C35" s="30" t="s">
        <v>72</v>
      </c>
      <c r="D35" s="63">
        <f>(1/(F7))-(1-D25)*((1/B24)-(1/D24))</f>
        <v>0.31988282323956013</v>
      </c>
      <c r="E35" s="204" t="str">
        <f>C17</f>
        <v>Óxido de ferro</v>
      </c>
      <c r="F35" s="204"/>
      <c r="G35" s="64">
        <v>0.02</v>
      </c>
      <c r="H35" s="65">
        <f>G35*$H$23*(100%-L19)</f>
        <v>7.7</v>
      </c>
      <c r="I35" s="66">
        <f>H35/L35</f>
        <v>7.7</v>
      </c>
      <c r="J35" s="67">
        <f>I17</f>
        <v>11.56</v>
      </c>
      <c r="K35" s="55">
        <f>J35*H35</f>
        <v>89.012</v>
      </c>
      <c r="L35" s="68">
        <v>1</v>
      </c>
    </row>
    <row r="36" spans="1:12" s="47" customFormat="1" ht="15.75" customHeight="1" thickTop="1" x14ac:dyDescent="0.25">
      <c r="A36" s="69" t="s">
        <v>73</v>
      </c>
      <c r="B36" s="70">
        <f>(((D20-(B33+D33+(D26*D20)))/(SUM(D27:D29))-D35-B27)/B35)</f>
        <v>4.1666653646091163</v>
      </c>
      <c r="C36" s="71" t="s">
        <v>74</v>
      </c>
      <c r="D36" s="72">
        <f>H28/SUM(H23:H27)*100</f>
        <v>9.8017471489888113</v>
      </c>
      <c r="E36" s="205" t="s">
        <v>75</v>
      </c>
      <c r="F36" s="205"/>
      <c r="G36" s="73"/>
      <c r="H36" s="74">
        <f>SUM(H23:H35)</f>
        <v>2347.593005218956</v>
      </c>
      <c r="I36" s="75">
        <f>SUM(I23:I35)</f>
        <v>992.00569584188656</v>
      </c>
      <c r="J36" s="76"/>
      <c r="K36" s="59">
        <f>SUM(K23:K35)</f>
        <v>433.30641757233377</v>
      </c>
    </row>
    <row r="37" spans="1:12" s="47" customFormat="1" ht="15.75" customHeight="1" x14ac:dyDescent="0.25">
      <c r="A37" s="23" t="s">
        <v>76</v>
      </c>
      <c r="B37" s="62"/>
      <c r="C37" s="30"/>
      <c r="D37" s="63"/>
      <c r="E37" s="206" t="s">
        <v>77</v>
      </c>
      <c r="F37" s="77"/>
      <c r="G37" s="120"/>
      <c r="H37" s="133" t="s">
        <v>78</v>
      </c>
      <c r="I37" s="134" t="s">
        <v>79</v>
      </c>
      <c r="J37" s="216" t="s">
        <v>80</v>
      </c>
      <c r="K37" s="217"/>
    </row>
    <row r="38" spans="1:12" s="47" customFormat="1" ht="15.75" customHeight="1" x14ac:dyDescent="0.2">
      <c r="A38" s="17" t="s">
        <v>81</v>
      </c>
      <c r="B38" s="70">
        <f>(D25*(1+B36))-1</f>
        <v>2.0999992187654697</v>
      </c>
      <c r="C38" s="30"/>
      <c r="D38" s="63"/>
      <c r="E38" s="207"/>
      <c r="F38" s="78"/>
      <c r="G38" s="121"/>
      <c r="H38" s="131">
        <v>4.0999999999999996</v>
      </c>
      <c r="I38" s="132">
        <v>25.4</v>
      </c>
      <c r="J38" s="122" t="s">
        <v>82</v>
      </c>
      <c r="K38" s="125">
        <f>I38*2/1.6*H38/6.5</f>
        <v>20.026923076923076</v>
      </c>
    </row>
    <row r="39" spans="1:12" s="47" customFormat="1" ht="15.75" customHeight="1" x14ac:dyDescent="0.2">
      <c r="A39" s="17"/>
      <c r="B39" s="80" t="s">
        <v>41</v>
      </c>
      <c r="C39" s="81">
        <f>B38*B21</f>
        <v>1.4699994531358287</v>
      </c>
      <c r="D39" s="63"/>
      <c r="E39" s="82"/>
      <c r="F39" s="83"/>
      <c r="J39" s="123" t="s">
        <v>83</v>
      </c>
      <c r="K39" s="119">
        <v>22</v>
      </c>
    </row>
    <row r="40" spans="1:12" s="47" customFormat="1" ht="15.75" customHeight="1" x14ac:dyDescent="0.25">
      <c r="A40" s="17"/>
      <c r="B40" s="80" t="s">
        <v>84</v>
      </c>
      <c r="C40" s="81">
        <f>B38*D21</f>
        <v>0.629999765629641</v>
      </c>
      <c r="D40" s="63"/>
      <c r="E40" s="82"/>
      <c r="F40" s="84"/>
      <c r="G40" s="83"/>
      <c r="H40" s="79"/>
      <c r="I40" s="78"/>
      <c r="J40" s="123" t="s">
        <v>85</v>
      </c>
      <c r="K40" s="119">
        <v>76</v>
      </c>
    </row>
    <row r="41" spans="1:12" s="47" customFormat="1" ht="15.75" customHeight="1" x14ac:dyDescent="0.25">
      <c r="A41" s="17" t="s">
        <v>86</v>
      </c>
      <c r="B41" s="70">
        <f>B36-B38</f>
        <v>2.0666661458436466</v>
      </c>
      <c r="C41" s="30"/>
      <c r="D41" s="63"/>
      <c r="E41" s="82"/>
      <c r="F41" s="84"/>
      <c r="G41" s="83"/>
      <c r="H41" s="79"/>
      <c r="I41" s="78"/>
      <c r="J41" s="123" t="s">
        <v>87</v>
      </c>
      <c r="K41" s="119">
        <v>40</v>
      </c>
    </row>
    <row r="42" spans="1:12" s="47" customFormat="1" ht="15.75" customHeight="1" x14ac:dyDescent="0.2">
      <c r="A42" s="61"/>
      <c r="B42" s="80" t="s">
        <v>88</v>
      </c>
      <c r="C42" s="81">
        <f>B41*B22</f>
        <v>2.0666661458436466</v>
      </c>
      <c r="D42" s="63"/>
      <c r="E42" s="82"/>
      <c r="F42" s="78"/>
      <c r="G42" s="83"/>
      <c r="H42" s="79"/>
      <c r="I42" s="78"/>
      <c r="J42" s="123" t="s">
        <v>89</v>
      </c>
      <c r="K42" s="126">
        <v>8</v>
      </c>
    </row>
    <row r="43" spans="1:12" s="47" customFormat="1" ht="15.75" customHeight="1" x14ac:dyDescent="0.2">
      <c r="A43" s="61"/>
      <c r="B43" s="80" t="s">
        <v>90</v>
      </c>
      <c r="C43" s="81">
        <f>B41*D22</f>
        <v>0</v>
      </c>
      <c r="D43" s="63"/>
      <c r="E43" s="82"/>
      <c r="F43" s="78"/>
      <c r="G43" s="83"/>
      <c r="H43" s="79"/>
      <c r="I43" s="78"/>
      <c r="J43" s="124" t="s">
        <v>91</v>
      </c>
      <c r="K43" s="127">
        <f>SUM(K38:K42)</f>
        <v>166.02692307692308</v>
      </c>
    </row>
    <row r="44" spans="1:12" s="47" customFormat="1" ht="15.75" customHeight="1" x14ac:dyDescent="0.2">
      <c r="A44" s="135"/>
      <c r="B44" s="45"/>
      <c r="C44" s="45"/>
      <c r="D44" s="46"/>
      <c r="E44" s="163"/>
      <c r="F44" s="164"/>
      <c r="G44" s="165"/>
      <c r="H44" s="166"/>
      <c r="I44" s="164"/>
      <c r="J44" s="167" t="s">
        <v>92</v>
      </c>
      <c r="K44" s="168">
        <f>K43+K36</f>
        <v>599.3333406492568</v>
      </c>
    </row>
    <row r="45" spans="1:12" s="47" customFormat="1" ht="3" customHeight="1" x14ac:dyDescent="0.2">
      <c r="A45" s="169"/>
      <c r="B45" s="170"/>
      <c r="C45" s="170"/>
      <c r="D45" s="170"/>
      <c r="E45" s="171"/>
      <c r="F45" s="172"/>
      <c r="G45" s="170"/>
      <c r="H45" s="173"/>
      <c r="I45" s="172"/>
      <c r="J45" s="174"/>
      <c r="K45" s="175"/>
    </row>
    <row r="46" spans="1:12" s="47" customFormat="1" ht="15" customHeight="1" x14ac:dyDescent="0.25">
      <c r="A46" s="199" t="s">
        <v>93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1"/>
    </row>
    <row r="47" spans="1:12" ht="15.75" customHeight="1" x14ac:dyDescent="0.25">
      <c r="A47" s="208" t="s">
        <v>94</v>
      </c>
      <c r="B47" s="210">
        <v>1000</v>
      </c>
      <c r="C47" s="211"/>
      <c r="D47" s="214" t="s">
        <v>95</v>
      </c>
      <c r="E47" s="215" t="s">
        <v>96</v>
      </c>
      <c r="F47" s="215" t="s">
        <v>97</v>
      </c>
      <c r="G47" s="215" t="s">
        <v>98</v>
      </c>
      <c r="H47" s="85" t="s">
        <v>99</v>
      </c>
      <c r="I47" s="86"/>
      <c r="J47" s="86"/>
      <c r="K47" s="140"/>
    </row>
    <row r="48" spans="1:12" ht="15.75" customHeight="1" x14ac:dyDescent="0.25">
      <c r="A48" s="209"/>
      <c r="B48" s="212"/>
      <c r="C48" s="213"/>
      <c r="D48" s="214"/>
      <c r="E48" s="215"/>
      <c r="F48" s="215"/>
      <c r="G48" s="215"/>
      <c r="H48" s="85" t="s">
        <v>100</v>
      </c>
      <c r="I48" s="86"/>
      <c r="J48" s="86"/>
      <c r="K48" s="140"/>
    </row>
    <row r="49" spans="1:11" ht="15.75" customHeight="1" x14ac:dyDescent="0.25">
      <c r="A49" s="198" t="str">
        <f>C7</f>
        <v>CPV  (Barroso)  - CSN</v>
      </c>
      <c r="B49" s="198"/>
      <c r="C49" s="198"/>
      <c r="D49" s="87">
        <f>H23*$B$47/1000</f>
        <v>385</v>
      </c>
      <c r="E49" s="88"/>
      <c r="F49" s="87"/>
      <c r="G49" s="89">
        <f>D49</f>
        <v>385</v>
      </c>
      <c r="H49" s="85" t="s">
        <v>101</v>
      </c>
      <c r="I49" s="86"/>
      <c r="J49" s="86"/>
      <c r="K49" s="140"/>
    </row>
    <row r="50" spans="1:11" ht="15.75" customHeight="1" x14ac:dyDescent="0.25">
      <c r="A50" s="188" t="str">
        <f>C8</f>
        <v>AREIA QUARTZO</v>
      </c>
      <c r="B50" s="188"/>
      <c r="C50" s="188"/>
      <c r="D50" s="87">
        <f>H24*$B$47/1000</f>
        <v>605.63977469196141</v>
      </c>
      <c r="E50" s="90">
        <v>0.05</v>
      </c>
      <c r="F50" s="91">
        <v>0</v>
      </c>
      <c r="G50" s="89">
        <f>D50*((1+E50)/(1+F50))</f>
        <v>635.92176342655955</v>
      </c>
      <c r="H50" s="199" t="s">
        <v>102</v>
      </c>
      <c r="I50" s="200"/>
      <c r="J50" s="200"/>
      <c r="K50" s="201"/>
    </row>
    <row r="51" spans="1:11" ht="15.75" customHeight="1" x14ac:dyDescent="0.25">
      <c r="A51" s="188" t="str">
        <f>C9</f>
        <v>AREIA ARTIFICIAL</v>
      </c>
      <c r="B51" s="188"/>
      <c r="C51" s="188"/>
      <c r="D51" s="87">
        <f>H25*$B$47/1000</f>
        <v>259.5599034394121</v>
      </c>
      <c r="E51" s="90">
        <v>1.4999999999999999E-2</v>
      </c>
      <c r="F51" s="91">
        <v>0</v>
      </c>
      <c r="G51" s="89">
        <f>D51*((1+E51)/(1+F51))</f>
        <v>263.45330199100323</v>
      </c>
      <c r="H51" s="202" t="s">
        <v>103</v>
      </c>
      <c r="I51" s="203"/>
      <c r="J51" s="180"/>
      <c r="K51" s="181"/>
    </row>
    <row r="52" spans="1:11" ht="15.75" customHeight="1" x14ac:dyDescent="0.25">
      <c r="A52" s="188" t="str">
        <f>C10</f>
        <v>BRITA 0</v>
      </c>
      <c r="B52" s="188"/>
      <c r="C52" s="188"/>
      <c r="D52" s="87">
        <f>H26*$B$47/1000</f>
        <v>851.46645208758241</v>
      </c>
      <c r="E52" s="91">
        <v>0</v>
      </c>
      <c r="F52" s="91">
        <v>0</v>
      </c>
      <c r="G52" s="89">
        <f>D52*((1+E52)/(1+F52))</f>
        <v>851.46645208758241</v>
      </c>
      <c r="H52" s="176" t="s">
        <v>104</v>
      </c>
      <c r="I52" s="177"/>
      <c r="J52" s="180"/>
      <c r="K52" s="181"/>
    </row>
    <row r="53" spans="1:11" ht="15.75" customHeight="1" x14ac:dyDescent="0.25">
      <c r="A53" s="188" t="str">
        <f>C11</f>
        <v>BRITA 1</v>
      </c>
      <c r="B53" s="188"/>
      <c r="C53" s="188"/>
      <c r="D53" s="87">
        <f>H27*$B$47/1000</f>
        <v>0</v>
      </c>
      <c r="E53" s="91">
        <v>0</v>
      </c>
      <c r="F53" s="91">
        <v>0</v>
      </c>
      <c r="G53" s="89">
        <f>D53*((1+E53)/(1+F53))</f>
        <v>0</v>
      </c>
      <c r="H53" s="176" t="s">
        <v>105</v>
      </c>
      <c r="I53" s="177"/>
      <c r="J53" s="180"/>
      <c r="K53" s="181"/>
    </row>
    <row r="54" spans="1:11" ht="15.75" customHeight="1" x14ac:dyDescent="0.25">
      <c r="A54" s="188" t="s">
        <v>59</v>
      </c>
      <c r="B54" s="188"/>
      <c r="C54" s="188"/>
      <c r="D54" s="92">
        <f>H28*$B$47</f>
        <v>206000</v>
      </c>
      <c r="E54" s="93">
        <f>((G50-D50)+(G51-D51)+(G52-D52)+(G53-D53))*1000</f>
        <v>34175.387286189274</v>
      </c>
      <c r="F54" s="92"/>
      <c r="G54" s="94">
        <f>(D54-E54)/1000</f>
        <v>171.82461271381072</v>
      </c>
      <c r="H54" s="176" t="s">
        <v>106</v>
      </c>
      <c r="I54" s="177"/>
      <c r="J54" s="180"/>
      <c r="K54" s="181"/>
    </row>
    <row r="55" spans="1:11" ht="15.75" customHeight="1" x14ac:dyDescent="0.25">
      <c r="A55" s="188" t="str">
        <f t="shared" ref="A55:A60" si="3">IF(ISBLANK(C12)," ",C12)</f>
        <v xml:space="preserve">CQ FLOW </v>
      </c>
      <c r="B55" s="188"/>
      <c r="C55" s="188"/>
      <c r="D55" s="95">
        <f>H29*$B$47</f>
        <v>4120</v>
      </c>
      <c r="E55" s="88"/>
      <c r="F55" s="95"/>
      <c r="G55" s="96">
        <f>D55</f>
        <v>4120</v>
      </c>
      <c r="H55" s="176" t="s">
        <v>107</v>
      </c>
      <c r="I55" s="177"/>
      <c r="J55" s="180"/>
      <c r="K55" s="181"/>
    </row>
    <row r="56" spans="1:11" ht="15.75" customHeight="1" x14ac:dyDescent="0.25">
      <c r="A56" s="188" t="str">
        <f t="shared" si="3"/>
        <v>Modificador de viscosidade</v>
      </c>
      <c r="B56" s="188"/>
      <c r="C56" s="188"/>
      <c r="D56" s="95">
        <f>H30*$B$47</f>
        <v>385</v>
      </c>
      <c r="E56" s="88"/>
      <c r="F56" s="95"/>
      <c r="G56" s="96">
        <f t="shared" ref="G56:G60" si="4">D56</f>
        <v>385</v>
      </c>
      <c r="H56" s="176" t="s">
        <v>108</v>
      </c>
      <c r="I56" s="177"/>
      <c r="J56" s="180"/>
      <c r="K56" s="181"/>
    </row>
    <row r="57" spans="1:11" ht="15.75" customHeight="1" x14ac:dyDescent="0.25">
      <c r="A57" s="188" t="str">
        <f t="shared" si="3"/>
        <v>Micro sílica</v>
      </c>
      <c r="B57" s="188"/>
      <c r="C57" s="188"/>
      <c r="D57" s="95">
        <f>H31*$B$47</f>
        <v>27000</v>
      </c>
      <c r="E57" s="88"/>
      <c r="F57" s="95"/>
      <c r="G57" s="96">
        <f t="shared" si="4"/>
        <v>27000</v>
      </c>
      <c r="H57" s="178"/>
      <c r="I57" s="179"/>
      <c r="J57" s="182"/>
      <c r="K57" s="183"/>
    </row>
    <row r="58" spans="1:11" ht="15.75" customHeight="1" x14ac:dyDescent="0.25">
      <c r="A58" s="188" t="str">
        <f t="shared" si="3"/>
        <v xml:space="preserve"> </v>
      </c>
      <c r="B58" s="188"/>
      <c r="C58" s="188"/>
      <c r="D58" s="95">
        <f>H32*$B$47</f>
        <v>0</v>
      </c>
      <c r="E58" s="88"/>
      <c r="F58" s="95"/>
      <c r="G58" s="96">
        <f t="shared" si="4"/>
        <v>0</v>
      </c>
      <c r="H58" s="98" t="s">
        <v>77</v>
      </c>
      <c r="I58" s="137"/>
      <c r="J58" s="138"/>
      <c r="K58" s="141"/>
    </row>
    <row r="59" spans="1:11" ht="15.75" customHeight="1" x14ac:dyDescent="0.25">
      <c r="A59" s="188" t="str">
        <f t="shared" si="3"/>
        <v>Micro fibra de vidro 12mm</v>
      </c>
      <c r="B59" s="188"/>
      <c r="C59" s="188"/>
      <c r="D59" s="95">
        <f>H34*$B$47</f>
        <v>721.87499999999989</v>
      </c>
      <c r="E59" s="88"/>
      <c r="F59" s="95"/>
      <c r="G59" s="96">
        <f t="shared" si="4"/>
        <v>721.87499999999989</v>
      </c>
      <c r="H59" s="100"/>
      <c r="I59" s="101"/>
      <c r="J59" s="84"/>
      <c r="K59" s="115"/>
    </row>
    <row r="60" spans="1:11" ht="15.75" customHeight="1" x14ac:dyDescent="0.25">
      <c r="A60" s="188" t="str">
        <f t="shared" si="3"/>
        <v>Óxido de ferro</v>
      </c>
      <c r="B60" s="188"/>
      <c r="C60" s="188"/>
      <c r="D60" s="95">
        <f>H35*$B$47</f>
        <v>7700</v>
      </c>
      <c r="E60" s="88"/>
      <c r="F60" s="95"/>
      <c r="G60" s="96">
        <f t="shared" si="4"/>
        <v>7700</v>
      </c>
      <c r="H60" s="102"/>
      <c r="I60" s="103"/>
      <c r="J60" s="104"/>
      <c r="K60" s="142"/>
    </row>
    <row r="61" spans="1:11" ht="15.75" customHeight="1" x14ac:dyDescent="0.25">
      <c r="A61" s="189" t="s">
        <v>109</v>
      </c>
      <c r="B61" s="190"/>
      <c r="C61" s="191"/>
      <c r="D61" s="192" t="s">
        <v>110</v>
      </c>
      <c r="E61" s="193"/>
      <c r="F61" s="193"/>
      <c r="G61" s="193"/>
      <c r="H61" s="193"/>
      <c r="I61" s="193"/>
      <c r="J61" s="193"/>
      <c r="K61" s="194"/>
    </row>
    <row r="62" spans="1:11" ht="15.75" customHeight="1" x14ac:dyDescent="0.25">
      <c r="A62" s="188" t="s">
        <v>111</v>
      </c>
      <c r="B62" s="188"/>
      <c r="C62" s="105">
        <f>D54+G67</f>
        <v>206000</v>
      </c>
      <c r="D62" s="106" t="s">
        <v>112</v>
      </c>
      <c r="E62" s="128"/>
      <c r="F62" s="143" t="s">
        <v>60</v>
      </c>
      <c r="G62" s="128"/>
      <c r="H62" s="143" t="s">
        <v>113</v>
      </c>
      <c r="I62" s="128"/>
      <c r="J62" s="139" t="s">
        <v>114</v>
      </c>
      <c r="K62" s="128"/>
    </row>
    <row r="63" spans="1:11" ht="15.75" customHeight="1" x14ac:dyDescent="0.25">
      <c r="A63" s="188" t="s">
        <v>115</v>
      </c>
      <c r="B63" s="188"/>
      <c r="C63" s="107">
        <f>C62/B47</f>
        <v>206</v>
      </c>
      <c r="D63" s="106" t="s">
        <v>116</v>
      </c>
      <c r="E63" s="129"/>
      <c r="F63" s="143" t="s">
        <v>60</v>
      </c>
      <c r="G63" s="129"/>
      <c r="H63" s="143" t="s">
        <v>113</v>
      </c>
      <c r="I63" s="129"/>
      <c r="J63" s="139" t="s">
        <v>114</v>
      </c>
      <c r="K63" s="129"/>
    </row>
    <row r="64" spans="1:11" ht="15.75" customHeight="1" x14ac:dyDescent="0.25">
      <c r="A64" s="188" t="s">
        <v>117</v>
      </c>
      <c r="B64" s="188"/>
      <c r="C64" s="108">
        <f>C63/SUM(H23:H27)</f>
        <v>9.8017471489888111E-2</v>
      </c>
      <c r="D64" s="106" t="s">
        <v>118</v>
      </c>
      <c r="E64" s="129"/>
      <c r="F64" s="143" t="s">
        <v>60</v>
      </c>
      <c r="G64" s="129"/>
      <c r="H64" s="143" t="s">
        <v>113</v>
      </c>
      <c r="I64" s="129"/>
      <c r="J64" s="139" t="s">
        <v>114</v>
      </c>
      <c r="K64" s="129"/>
    </row>
    <row r="65" spans="1:11" ht="15.75" customHeight="1" x14ac:dyDescent="0.25">
      <c r="A65" s="188" t="s">
        <v>119</v>
      </c>
      <c r="B65" s="188"/>
      <c r="C65" s="109">
        <f>C62/D49/1000</f>
        <v>0.53506493506493502</v>
      </c>
      <c r="D65" s="106" t="s">
        <v>120</v>
      </c>
      <c r="E65" s="129"/>
      <c r="F65" s="143" t="s">
        <v>60</v>
      </c>
      <c r="G65" s="129"/>
      <c r="H65" s="143" t="s">
        <v>113</v>
      </c>
      <c r="I65" s="129"/>
      <c r="J65" s="139" t="s">
        <v>114</v>
      </c>
      <c r="K65" s="129"/>
    </row>
    <row r="66" spans="1:11" ht="15.75" customHeight="1" x14ac:dyDescent="0.25">
      <c r="A66" s="188" t="s">
        <v>121</v>
      </c>
      <c r="B66" s="188"/>
      <c r="C66" s="110">
        <f>C65/C64-1</f>
        <v>4.4588730655037816</v>
      </c>
      <c r="D66" s="106" t="s">
        <v>122</v>
      </c>
      <c r="E66" s="129"/>
      <c r="F66" s="143" t="s">
        <v>60</v>
      </c>
      <c r="G66" s="129"/>
      <c r="H66" s="143" t="s">
        <v>113</v>
      </c>
      <c r="I66" s="129"/>
      <c r="J66" s="139" t="s">
        <v>114</v>
      </c>
      <c r="K66" s="129"/>
    </row>
    <row r="67" spans="1:11" ht="15.75" customHeight="1" x14ac:dyDescent="0.25">
      <c r="A67" s="188" t="s">
        <v>81</v>
      </c>
      <c r="B67" s="188"/>
      <c r="C67" s="110">
        <f>D25*(C66+1)-1</f>
        <v>2.2753238393022688</v>
      </c>
      <c r="D67" s="111" t="s">
        <v>123</v>
      </c>
      <c r="E67" s="130"/>
      <c r="F67" s="112" t="s">
        <v>60</v>
      </c>
      <c r="G67" s="130">
        <f>SUM(G62:G66)</f>
        <v>0</v>
      </c>
      <c r="H67" s="112" t="s">
        <v>113</v>
      </c>
      <c r="I67" s="130"/>
      <c r="J67" s="97" t="s">
        <v>114</v>
      </c>
      <c r="K67" s="130"/>
    </row>
    <row r="68" spans="1:11" ht="15.75" customHeight="1" x14ac:dyDescent="0.25">
      <c r="A68" s="188" t="s">
        <v>86</v>
      </c>
      <c r="B68" s="188"/>
      <c r="C68" s="113">
        <f>C66-C67</f>
        <v>2.1835492262015128</v>
      </c>
      <c r="D68" s="195" t="s">
        <v>124</v>
      </c>
      <c r="E68" s="196"/>
      <c r="F68" s="196"/>
      <c r="G68" s="196"/>
      <c r="H68" s="196"/>
      <c r="I68" s="196"/>
      <c r="J68" s="196"/>
      <c r="K68" s="197"/>
    </row>
    <row r="69" spans="1:11" ht="15.75" customHeight="1" x14ac:dyDescent="0.25">
      <c r="A69" s="144" t="s">
        <v>77</v>
      </c>
      <c r="B69" s="99"/>
      <c r="C69" s="114"/>
      <c r="D69" s="184" t="s">
        <v>125</v>
      </c>
      <c r="E69" s="88" t="s">
        <v>126</v>
      </c>
      <c r="F69" s="88" t="s">
        <v>127</v>
      </c>
      <c r="G69" s="88" t="s">
        <v>128</v>
      </c>
      <c r="H69" s="88" t="s">
        <v>129</v>
      </c>
      <c r="I69" s="88" t="s">
        <v>130</v>
      </c>
      <c r="J69" s="185" t="s">
        <v>131</v>
      </c>
      <c r="K69" s="145"/>
    </row>
    <row r="70" spans="1:11" ht="15.75" customHeight="1" x14ac:dyDescent="0.25">
      <c r="A70" s="100"/>
      <c r="B70" s="101"/>
      <c r="C70" s="115"/>
      <c r="D70" s="184"/>
      <c r="E70" s="116"/>
      <c r="F70" s="116"/>
      <c r="G70" s="116"/>
      <c r="H70" s="116"/>
      <c r="I70" s="116"/>
      <c r="J70" s="186"/>
      <c r="K70" s="146"/>
    </row>
    <row r="71" spans="1:11" ht="15.75" customHeight="1" x14ac:dyDescent="0.25">
      <c r="A71" s="102"/>
      <c r="B71" s="103"/>
      <c r="C71" s="142"/>
      <c r="D71" s="88" t="s">
        <v>132</v>
      </c>
      <c r="E71" s="147"/>
      <c r="F71" s="148"/>
      <c r="G71" s="148"/>
      <c r="H71" s="148"/>
      <c r="I71" s="148"/>
      <c r="J71" s="187"/>
      <c r="K71" s="149"/>
    </row>
  </sheetData>
  <mergeCells count="100">
    <mergeCell ref="J4:K4"/>
    <mergeCell ref="A1:K1"/>
    <mergeCell ref="A2:K2"/>
    <mergeCell ref="A3:D3"/>
    <mergeCell ref="F3:H3"/>
    <mergeCell ref="J3:K3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9:K19"/>
    <mergeCell ref="E20:K20"/>
    <mergeCell ref="E21:F22"/>
    <mergeCell ref="G21:G22"/>
    <mergeCell ref="H21:H22"/>
    <mergeCell ref="I21:I22"/>
    <mergeCell ref="J21:J22"/>
    <mergeCell ref="K21:K22"/>
    <mergeCell ref="E34:F3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5:F35"/>
    <mergeCell ref="E36:F36"/>
    <mergeCell ref="E37:E38"/>
    <mergeCell ref="A46:K46"/>
    <mergeCell ref="A47:A48"/>
    <mergeCell ref="B47:C48"/>
    <mergeCell ref="D47:D48"/>
    <mergeCell ref="E47:E48"/>
    <mergeCell ref="F47:F48"/>
    <mergeCell ref="G47:G48"/>
    <mergeCell ref="J37:K37"/>
    <mergeCell ref="A59:C59"/>
    <mergeCell ref="A49:C49"/>
    <mergeCell ref="A50:C50"/>
    <mergeCell ref="H50:K50"/>
    <mergeCell ref="A51:C51"/>
    <mergeCell ref="A52:C52"/>
    <mergeCell ref="A53:C53"/>
    <mergeCell ref="A54:C54"/>
    <mergeCell ref="A55:C55"/>
    <mergeCell ref="A56:C56"/>
    <mergeCell ref="A57:C57"/>
    <mergeCell ref="A58:C58"/>
    <mergeCell ref="H51:I51"/>
    <mergeCell ref="H52:I52"/>
    <mergeCell ref="H53:I53"/>
    <mergeCell ref="H54:I54"/>
    <mergeCell ref="D69:D70"/>
    <mergeCell ref="J69:J71"/>
    <mergeCell ref="A60:C60"/>
    <mergeCell ref="A61:C61"/>
    <mergeCell ref="D61:K61"/>
    <mergeCell ref="A62:B62"/>
    <mergeCell ref="A63:B63"/>
    <mergeCell ref="A64:B64"/>
    <mergeCell ref="A65:B65"/>
    <mergeCell ref="A66:B66"/>
    <mergeCell ref="A67:B67"/>
    <mergeCell ref="A68:B68"/>
    <mergeCell ref="D68:K68"/>
    <mergeCell ref="H55:I55"/>
    <mergeCell ref="H56:I56"/>
    <mergeCell ref="H57:I57"/>
    <mergeCell ref="J51:K51"/>
    <mergeCell ref="J52:K52"/>
    <mergeCell ref="J53:K53"/>
    <mergeCell ref="J54:K54"/>
    <mergeCell ref="J55:K55"/>
    <mergeCell ref="J56:K56"/>
    <mergeCell ref="J57:K57"/>
  </mergeCells>
  <conditionalFormatting sqref="E23:E35">
    <cfRule type="containsText" priority="1" operator="containsText" text="0">
      <formula>NOT(ISERROR(SEARCH("0",E23)))</formula>
    </cfRule>
  </conditionalFormatting>
  <printOptions horizontalCentered="1"/>
  <pageMargins left="0.23622047244094491" right="0.23622047244094491" top="1.1417322834645669" bottom="0.74803149606299213" header="0.31496062992125984" footer="0.31496062992125984"/>
  <pageSetup paperSize="9" scale="64" orientation="portrait" r:id="rId1"/>
  <headerFooter>
    <oddHeader>&amp;LENGENHARIA DO CONCRETO
 Julio Cesar Vechim - Eng. Civil
(11) 98261-8300
abstrataconcreto@gmail.com&amp;R&amp;G</oddHeader>
    <oddFooter>&amp;R&amp;D&amp;T&amp;F&amp;A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MODELO</vt:lpstr>
      <vt:lpstr>MODELO!Area_de_impressao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Julio Cesar Vechim</dc:creator>
  <cp:keywords/>
  <dc:description/>
  <cp:lastModifiedBy>Julio Vechim</cp:lastModifiedBy>
  <cp:revision/>
  <dcterms:created xsi:type="dcterms:W3CDTF">2021-04-29T21:02:49Z</dcterms:created>
  <dcterms:modified xsi:type="dcterms:W3CDTF">2025-02-18T18:40:06Z</dcterms:modified>
  <cp:category/>
  <cp:contentStatus/>
</cp:coreProperties>
</file>