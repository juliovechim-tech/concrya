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00FFFFFF"/>
      <sz val="18"/>
    </font>
    <font>
      <name val="Arial"/>
      <b val="1"/>
      <color rgb="00FF6600"/>
      <sz val="12"/>
    </font>
    <font>
      <name val="Arial"/>
      <color rgb="000066CC"/>
      <sz val="9"/>
      <u val="single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1"/>
    </font>
    <font>
      <name val="Arial"/>
      <b val="1"/>
      <color rgb="00FFFFFF"/>
      <sz val="11"/>
    </font>
    <font>
      <name val="Arial"/>
      <i val="1"/>
      <color rgb="00333333"/>
      <sz val="8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5F5"/>
        <bgColor rgb="00F5F5F5"/>
      </patternFill>
    </fill>
    <fill>
      <patternFill patternType="solid">
        <fgColor rgb="00FF6600"/>
        <bgColor rgb="00FF6600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applyProtection="1" pivotButton="0" quotePrefix="0" xfId="0">
      <protection locked="0" hidden="0"/>
    </xf>
    <xf numFmtId="0" fontId="4" fillId="5" borderId="1" applyAlignment="1" pivotButton="0" quotePrefix="0" xfId="0">
      <alignment horizontal="center"/>
    </xf>
    <xf numFmtId="0" fontId="5" fillId="0" borderId="1" applyProtection="1" pivotButton="0" quotePrefix="0" xfId="0">
      <protection locked="0" hidden="0"/>
    </xf>
    <xf numFmtId="0" fontId="5" fillId="3" borderId="1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pivotButton="0" quotePrefix="0" xfId="0"/>
    <xf numFmtId="0" fontId="5" fillId="0" borderId="0" applyProtection="1" pivotButton="0" quotePrefix="0" xfId="0">
      <protection locked="0" hidden="0"/>
    </xf>
    <xf numFmtId="0" fontId="5" fillId="3" borderId="1" pivotButton="0" quotePrefix="0" xfId="0"/>
    <xf numFmtId="0" fontId="5" fillId="0" borderId="1" pivotButton="0" quotePrefix="0" xfId="0"/>
    <xf numFmtId="0" fontId="7" fillId="4" borderId="1" pivotButton="0" quotePrefix="0" xfId="0"/>
    <xf numFmtId="0" fontId="4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stresconcreto.com/" TargetMode="External" Id="rId1"/><Relationship Type="http://schemas.openxmlformats.org/officeDocument/2006/relationships/hyperlink" Target="https://wa.me/5511982618300" TargetMode="External" Id="rId2"/><Relationship Type="http://schemas.openxmlformats.org/officeDocument/2006/relationships/hyperlink" Target="https://www.instagram.com/mestresdoconcreto/" TargetMode="External" Id="rId3"/><Relationship Type="http://schemas.openxmlformats.org/officeDocument/2006/relationships/hyperlink" Target="https://bit.ly/m/Juliovechi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MESTRES DO CONCRETO</t>
        </is>
      </c>
    </row>
    <row r="2"/>
    <row r="3"/>
    <row r="4">
      <c r="A4" s="2" t="inlineStr">
        <is>
          <t>ESTUDO DE DOSAGEM DE CONCRETO</t>
        </is>
      </c>
    </row>
    <row r="5">
      <c r="A5" s="3" t="inlineStr">
        <is>
          <t>🌐 mestresconcreto.com</t>
        </is>
      </c>
      <c r="C5" s="3" t="inlineStr">
        <is>
          <t>📱 WhatsApp</t>
        </is>
      </c>
      <c r="E5" s="3" t="inlineStr">
        <is>
          <t>📷 @mestresdoconcreto</t>
        </is>
      </c>
      <c r="G5" s="3" t="inlineStr">
        <is>
          <t>🔗 Linktree</t>
        </is>
      </c>
    </row>
    <row r="7">
      <c r="A7" s="4" t="inlineStr">
        <is>
          <t>DADOS DO ESTUDO</t>
        </is>
      </c>
    </row>
    <row r="8">
      <c r="A8" s="5" t="inlineStr">
        <is>
          <t>Cliente:</t>
        </is>
      </c>
      <c r="B8" s="6" t="inlineStr"/>
      <c r="C8" t="inlineStr">
        <is>
          <t>Data:</t>
        </is>
      </c>
      <c r="D8" s="6" t="inlineStr"/>
      <c r="E8" t="inlineStr">
        <is>
          <t>Traço Nº:</t>
        </is>
      </c>
      <c r="F8" s="6" t="inlineStr"/>
      <c r="G8" t="inlineStr">
        <is>
          <t>fck (MPa):</t>
        </is>
      </c>
      <c r="H8" s="6" t="n">
        <v>40</v>
      </c>
    </row>
    <row r="9">
      <c r="A9" t="inlineStr">
        <is>
          <t>Objetivo:</t>
        </is>
      </c>
      <c r="B9" s="6" t="inlineStr"/>
      <c r="E9" t="inlineStr">
        <is>
          <t>Slump (mm):</t>
        </is>
      </c>
      <c r="F9" s="6" t="n">
        <v>100</v>
      </c>
      <c r="G9" t="inlineStr">
        <is>
          <t>Cimento:</t>
        </is>
      </c>
      <c r="H9" s="6" t="inlineStr">
        <is>
          <t>CPV-ARI</t>
        </is>
      </c>
    </row>
    <row r="11">
      <c r="A11" s="4" t="inlineStr">
        <is>
          <t>MATERIAIS</t>
        </is>
      </c>
      <c r="F11" s="4" t="inlineStr">
        <is>
          <t>PROPRIEDADES</t>
        </is>
      </c>
    </row>
    <row r="12">
      <c r="A12" s="7" t="inlineStr">
        <is>
          <t>Material</t>
        </is>
      </c>
      <c r="B12" s="7" t="inlineStr">
        <is>
          <t>Fornecedor</t>
        </is>
      </c>
      <c r="C12" s="7" t="inlineStr">
        <is>
          <t>M.Esp. (kg/L)</t>
        </is>
      </c>
      <c r="D12" s="7" t="inlineStr">
        <is>
          <t>R$/ton</t>
        </is>
      </c>
      <c r="E12" s="7" t="inlineStr">
        <is>
          <t>R$/ton+Frete</t>
        </is>
      </c>
      <c r="F12" s="7" t="inlineStr">
        <is>
          <t>Info</t>
        </is>
      </c>
      <c r="G12" s="7" t="inlineStr">
        <is>
          <t>MF/DMC</t>
        </is>
      </c>
      <c r="H12" s="7" t="inlineStr">
        <is>
          <t>Blaine/BET</t>
        </is>
      </c>
      <c r="I12" s="7" t="inlineStr">
        <is>
          <t>Malha #</t>
        </is>
      </c>
      <c r="J12" s="7" t="inlineStr">
        <is>
          <t>Obs</t>
        </is>
      </c>
    </row>
    <row r="13">
      <c r="A13" s="8" t="inlineStr">
        <is>
          <t>Cimento</t>
        </is>
      </c>
      <c r="B13" s="8" t="inlineStr">
        <is>
          <t>CSN</t>
        </is>
      </c>
      <c r="C13" s="8" t="n">
        <v>3.1</v>
      </c>
      <c r="D13" s="8" t="n">
        <v>440</v>
      </c>
      <c r="E13" s="8" t="n">
        <v>440</v>
      </c>
      <c r="F13" s="8" t="inlineStr">
        <is>
          <t>CPV-ARI</t>
        </is>
      </c>
      <c r="G13" s="8" t="inlineStr">
        <is>
          <t>-</t>
        </is>
      </c>
      <c r="H13" s="8" t="inlineStr">
        <is>
          <t>4500</t>
        </is>
      </c>
      <c r="I13" s="8" t="inlineStr">
        <is>
          <t>-</t>
        </is>
      </c>
      <c r="J13" s="8" t="inlineStr"/>
    </row>
    <row r="14">
      <c r="A14" s="9" t="inlineStr">
        <is>
          <t>Areia Média</t>
        </is>
      </c>
      <c r="B14" s="9" t="inlineStr"/>
      <c r="C14" s="9" t="n">
        <v>2.65</v>
      </c>
      <c r="D14" s="9" t="n">
        <v>73</v>
      </c>
      <c r="E14" s="9" t="n">
        <v>73</v>
      </c>
      <c r="F14" s="9" t="inlineStr">
        <is>
          <t>Natural</t>
        </is>
      </c>
      <c r="G14" s="9" t="inlineStr">
        <is>
          <t>2.4</t>
        </is>
      </c>
      <c r="H14" s="9" t="inlineStr">
        <is>
          <t>-</t>
        </is>
      </c>
      <c r="I14" s="9" t="inlineStr">
        <is>
          <t>-</t>
        </is>
      </c>
      <c r="J14" s="9" t="inlineStr"/>
    </row>
    <row r="15">
      <c r="A15" s="8" t="inlineStr">
        <is>
          <t>Areia Fina</t>
        </is>
      </c>
      <c r="B15" s="8" t="inlineStr"/>
      <c r="C15" s="8" t="n">
        <v>2.65</v>
      </c>
      <c r="D15" s="8" t="n">
        <v>56</v>
      </c>
      <c r="E15" s="8" t="n">
        <v>56</v>
      </c>
      <c r="F15" s="8" t="inlineStr">
        <is>
          <t>Artificial</t>
        </is>
      </c>
      <c r="G15" s="8" t="inlineStr">
        <is>
          <t>1.8</t>
        </is>
      </c>
      <c r="H15" s="8" t="inlineStr">
        <is>
          <t>-</t>
        </is>
      </c>
      <c r="I15" s="8" t="inlineStr">
        <is>
          <t>-</t>
        </is>
      </c>
      <c r="J15" s="8" t="inlineStr"/>
    </row>
    <row r="16">
      <c r="A16" s="9" t="inlineStr">
        <is>
          <t>Brita 0</t>
        </is>
      </c>
      <c r="B16" s="9" t="inlineStr"/>
      <c r="C16" s="9" t="n">
        <v>2.72</v>
      </c>
      <c r="D16" s="9" t="n">
        <v>54</v>
      </c>
      <c r="E16" s="9" t="n">
        <v>54</v>
      </c>
      <c r="F16" s="9" t="inlineStr">
        <is>
          <t>9.5mm</t>
        </is>
      </c>
      <c r="G16" s="9" t="inlineStr">
        <is>
          <t>12.5</t>
        </is>
      </c>
      <c r="H16" s="9" t="inlineStr">
        <is>
          <t>-</t>
        </is>
      </c>
      <c r="I16" s="9" t="inlineStr">
        <is>
          <t>-</t>
        </is>
      </c>
      <c r="J16" s="9" t="inlineStr"/>
    </row>
    <row r="17">
      <c r="A17" s="8" t="inlineStr">
        <is>
          <t>Brita 1</t>
        </is>
      </c>
      <c r="B17" s="8" t="inlineStr"/>
      <c r="C17" s="8" t="n">
        <v>2.72</v>
      </c>
      <c r="D17" s="8" t="n">
        <v>48</v>
      </c>
      <c r="E17" s="8" t="n">
        <v>48</v>
      </c>
      <c r="F17" s="8" t="inlineStr">
        <is>
          <t>19mm</t>
        </is>
      </c>
      <c r="G17" s="8" t="inlineStr">
        <is>
          <t>19</t>
        </is>
      </c>
      <c r="H17" s="8" t="inlineStr">
        <is>
          <t>-</t>
        </is>
      </c>
      <c r="I17" s="8" t="inlineStr">
        <is>
          <t>-</t>
        </is>
      </c>
      <c r="J17" s="8" t="inlineStr"/>
    </row>
    <row r="18">
      <c r="A18" s="9" t="inlineStr">
        <is>
          <t>Aditivo SP</t>
        </is>
      </c>
      <c r="B18" s="9" t="inlineStr"/>
      <c r="C18" s="9" t="n">
        <v>1.1</v>
      </c>
      <c r="D18" s="9" t="n">
        <v>12000</v>
      </c>
      <c r="E18" s="9" t="n">
        <v>12000</v>
      </c>
      <c r="F18" s="9" t="inlineStr">
        <is>
          <t>Policarbox.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/>
    </row>
    <row r="19">
      <c r="A19" s="8" t="inlineStr">
        <is>
          <t>Mod. Visc.</t>
        </is>
      </c>
      <c r="B19" s="8" t="inlineStr"/>
      <c r="C19" s="8" t="n">
        <v>1.06</v>
      </c>
      <c r="D19" s="8" t="n">
        <v>6500</v>
      </c>
      <c r="E19" s="8" t="n">
        <v>6500</v>
      </c>
      <c r="F19" s="8" t="inlineStr">
        <is>
          <t>VMA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/>
    </row>
    <row r="20">
      <c r="A20" s="9" t="inlineStr">
        <is>
          <t>Micro Sílica</t>
        </is>
      </c>
      <c r="B20" s="9" t="inlineStr"/>
      <c r="C20" s="9" t="n">
        <v>2.2</v>
      </c>
      <c r="D20" s="9" t="n">
        <v>1350</v>
      </c>
      <c r="E20" s="9" t="n">
        <v>1350</v>
      </c>
      <c r="F20" s="9" t="inlineStr">
        <is>
          <t>Densificada</t>
        </is>
      </c>
      <c r="G20" s="9" t="inlineStr">
        <is>
          <t>-</t>
        </is>
      </c>
      <c r="H20" s="9" t="inlineStr">
        <is>
          <t>20000</t>
        </is>
      </c>
      <c r="I20" s="9" t="inlineStr">
        <is>
          <t>-</t>
        </is>
      </c>
      <c r="J20" s="9" t="inlineStr"/>
    </row>
    <row r="21">
      <c r="A21" s="8" t="inlineStr">
        <is>
          <t>Filler Calcário</t>
        </is>
      </c>
      <c r="B21" s="8" t="inlineStr"/>
      <c r="C21" s="8" t="n">
        <v>2.7</v>
      </c>
      <c r="D21" s="8" t="n">
        <v>200</v>
      </c>
      <c r="E21" s="8" t="n">
        <v>200</v>
      </c>
      <c r="F21" s="8" t="inlineStr">
        <is>
          <t>Inerte</t>
        </is>
      </c>
      <c r="G21" s="8" t="inlineStr">
        <is>
          <t>-</t>
        </is>
      </c>
      <c r="H21" s="8" t="inlineStr">
        <is>
          <t>3500</t>
        </is>
      </c>
      <c r="I21" s="8" t="inlineStr">
        <is>
          <t>-</t>
        </is>
      </c>
      <c r="J21" s="8" t="inlineStr"/>
    </row>
    <row r="22">
      <c r="A22" s="9" t="inlineStr">
        <is>
          <t>Fibra PVA</t>
        </is>
      </c>
      <c r="B22" s="9" t="inlineStr"/>
      <c r="C22" s="9" t="n">
        <v>1.3</v>
      </c>
      <c r="D22" s="9" t="n">
        <v>25000</v>
      </c>
      <c r="E22" s="9" t="n">
        <v>25000</v>
      </c>
      <c r="F22" s="9" t="inlineStr">
        <is>
          <t>12mm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/>
    </row>
    <row r="24">
      <c r="A24" s="4" t="inlineStr">
        <is>
          <t>PARÂMETROS DO TRAÇO</t>
        </is>
      </c>
      <c r="F24" s="4" t="inlineStr">
        <is>
          <t>COMPOSIÇÃO DO TRAÇO (1 m³)</t>
        </is>
      </c>
    </row>
    <row r="25">
      <c r="A25" s="5" t="inlineStr">
        <is>
          <t>A/C:</t>
        </is>
      </c>
      <c r="B25" s="10" t="n">
        <v>0.5</v>
      </c>
      <c r="C25" s="5" t="inlineStr">
        <is>
          <t>Cons. Cimento:</t>
        </is>
      </c>
      <c r="D25" s="11">
        <f>H25/H26</f>
        <v/>
      </c>
      <c r="E25" s="5" t="inlineStr">
        <is>
          <t>kg/m³</t>
        </is>
      </c>
      <c r="F25" s="7" t="inlineStr">
        <is>
          <t>Material</t>
        </is>
      </c>
      <c r="G25" s="7" t="inlineStr">
        <is>
          <t>Traço Unit.</t>
        </is>
      </c>
      <c r="H25" s="7" t="inlineStr">
        <is>
          <t>Massa (kg)</t>
        </is>
      </c>
      <c r="I25" s="7" t="inlineStr">
        <is>
          <t>Volume (L)</t>
        </is>
      </c>
      <c r="J25" s="7" t="inlineStr">
        <is>
          <t>Custo (R$)</t>
        </is>
      </c>
    </row>
    <row r="26">
      <c r="A26" s="5" t="inlineStr">
        <is>
          <t>A/Aglom.:</t>
        </is>
      </c>
      <c r="B26" s="10">
        <f>B25</f>
        <v/>
      </c>
      <c r="C26" s="12" t="inlineStr">
        <is>
          <t>Cons. Adição 1:</t>
        </is>
      </c>
      <c r="D26" s="11" t="inlineStr"/>
      <c r="E26" s="5" t="inlineStr">
        <is>
          <t>kg/m³</t>
        </is>
      </c>
      <c r="F26" s="13" t="inlineStr">
        <is>
          <t>Cimento</t>
        </is>
      </c>
      <c r="G26" s="9" t="n">
        <v>1</v>
      </c>
      <c r="H26" s="9" t="n">
        <v>385</v>
      </c>
      <c r="I26" s="13">
        <f>H26/C13</f>
        <v/>
      </c>
      <c r="J26" s="13">
        <f>H26*D13/1000</f>
        <v/>
      </c>
    </row>
    <row r="27">
      <c r="A27" s="5" t="inlineStr">
        <is>
          <t>Teor Argam.:</t>
        </is>
      </c>
      <c r="B27" s="10" t="inlineStr">
        <is>
          <t>60%</t>
        </is>
      </c>
      <c r="C27" s="12" t="inlineStr">
        <is>
          <t>Cons. Adição 2:</t>
        </is>
      </c>
      <c r="D27" s="11" t="inlineStr"/>
      <c r="E27" s="5" t="inlineStr">
        <is>
          <t>kg/m³</t>
        </is>
      </c>
      <c r="F27" s="14" t="inlineStr">
        <is>
          <t>Areia Média</t>
        </is>
      </c>
      <c r="G27" s="8" t="n">
        <v>1.47</v>
      </c>
      <c r="H27" s="8" t="n">
        <v>566</v>
      </c>
      <c r="I27" s="14">
        <f>H27/C14</f>
        <v/>
      </c>
      <c r="J27" s="14">
        <f>H27*D14/1000</f>
        <v/>
      </c>
    </row>
    <row r="28">
      <c r="A28" s="5" t="inlineStr">
        <is>
          <t>Ar Incorp.:</t>
        </is>
      </c>
      <c r="B28" s="10" t="inlineStr">
        <is>
          <t>2%</t>
        </is>
      </c>
      <c r="C28" s="12" t="inlineStr">
        <is>
          <t>Água:</t>
        </is>
      </c>
      <c r="D28" s="11">
        <f>B25*C25</f>
        <v/>
      </c>
      <c r="E28" s="5" t="inlineStr">
        <is>
          <t>l/m³</t>
        </is>
      </c>
      <c r="F28" s="13" t="inlineStr">
        <is>
          <t>Areia Fina</t>
        </is>
      </c>
      <c r="G28" s="9" t="n">
        <v>0.63</v>
      </c>
      <c r="H28" s="9" t="n">
        <v>243</v>
      </c>
      <c r="I28" s="13">
        <f>H28/C15</f>
        <v/>
      </c>
      <c r="J28" s="13">
        <f>H28*D15/1000</f>
        <v/>
      </c>
    </row>
    <row r="29">
      <c r="A29" s="5" t="inlineStr">
        <is>
          <t>Teor Sólidos Sílica:</t>
        </is>
      </c>
      <c r="B29" s="10" t="inlineStr">
        <is>
          <t>100%</t>
        </is>
      </c>
      <c r="C29" s="5" t="inlineStr">
        <is>
          <t>Água Sílica:</t>
        </is>
      </c>
      <c r="D29" s="11">
        <f>IF(B28&lt;1,C26*(1-B28),0)</f>
        <v/>
      </c>
      <c r="E29" s="5" t="inlineStr">
        <is>
          <t>l/m³</t>
        </is>
      </c>
      <c r="F29" s="14" t="inlineStr">
        <is>
          <t>Brita 0</t>
        </is>
      </c>
      <c r="G29" s="8" t="n">
        <v>2.07</v>
      </c>
      <c r="H29" s="8" t="n">
        <v>797</v>
      </c>
      <c r="I29" s="14">
        <f>H29/C16</f>
        <v/>
      </c>
      <c r="J29" s="14">
        <f>H29*D16/1000</f>
        <v/>
      </c>
    </row>
    <row r="30">
      <c r="A30" s="5" t="inlineStr"/>
      <c r="B30" s="11" t="inlineStr"/>
      <c r="C30" s="5" t="inlineStr">
        <is>
          <t>Água Efetiva:</t>
        </is>
      </c>
      <c r="D30" s="11">
        <f>C28-C29</f>
        <v/>
      </c>
      <c r="E30" s="5" t="inlineStr">
        <is>
          <t>l/m³</t>
        </is>
      </c>
      <c r="F30" s="13" t="inlineStr">
        <is>
          <t>Brita 1</t>
        </is>
      </c>
      <c r="G30" s="9" t="n">
        <v>0</v>
      </c>
      <c r="H30" s="9" t="n">
        <v>0</v>
      </c>
      <c r="I30" s="13">
        <f>H30/C17</f>
        <v/>
      </c>
      <c r="J30" s="13">
        <f>H30*D17/1000</f>
        <v/>
      </c>
    </row>
    <row r="31">
      <c r="F31" s="14" t="inlineStr">
        <is>
          <t>Água</t>
        </is>
      </c>
      <c r="G31" s="8" t="n">
        <v>0.5</v>
      </c>
      <c r="H31" s="8" t="n">
        <v>193</v>
      </c>
      <c r="I31" s="14" t="n">
        <v>193</v>
      </c>
      <c r="J31" s="14" t="n">
        <v>0.21</v>
      </c>
    </row>
    <row r="32">
      <c r="F32" s="13" t="inlineStr">
        <is>
          <t>Aditivo SP</t>
        </is>
      </c>
      <c r="G32" s="9" t="inlineStr">
        <is>
          <t>1.0%</t>
        </is>
      </c>
      <c r="H32" s="9" t="n">
        <v>3.85</v>
      </c>
      <c r="I32" s="13">
        <f>H32/C18</f>
        <v/>
      </c>
      <c r="J32" s="13">
        <f>H32*D18/1000</f>
        <v/>
      </c>
    </row>
    <row r="33">
      <c r="F33" s="14" t="inlineStr">
        <is>
          <t>Micro Sílica</t>
        </is>
      </c>
      <c r="G33" s="8" t="inlineStr">
        <is>
          <t>7.0%</t>
        </is>
      </c>
      <c r="H33" s="8" t="n">
        <v>27</v>
      </c>
      <c r="I33" s="14">
        <f>H33/C20</f>
        <v/>
      </c>
      <c r="J33" s="14">
        <f>H33*D20/1000</f>
        <v/>
      </c>
    </row>
    <row r="34">
      <c r="F34" s="13" t="inlineStr">
        <is>
          <t>Ar Incorp.</t>
        </is>
      </c>
      <c r="G34" s="9" t="inlineStr">
        <is>
          <t>2%</t>
        </is>
      </c>
      <c r="H34" s="9" t="inlineStr">
        <is>
          <t>-</t>
        </is>
      </c>
      <c r="I34" s="13" t="n">
        <v>20</v>
      </c>
      <c r="J34" s="13" t="inlineStr">
        <is>
          <t>-</t>
        </is>
      </c>
    </row>
    <row r="35">
      <c r="F35" s="15" t="inlineStr">
        <is>
          <t>TOTAL</t>
        </is>
      </c>
      <c r="G35" s="15" t="inlineStr"/>
      <c r="H35" s="15">
        <f>SUM(H26:H34)</f>
        <v/>
      </c>
      <c r="I35" s="15">
        <f>SUM(I26:I34)</f>
        <v/>
      </c>
      <c r="J35" s="15">
        <f>SUM(J26:J34)</f>
        <v/>
      </c>
    </row>
    <row r="37">
      <c r="A37" s="16" t="inlineStr">
        <is>
          <t>CONSTANTES DA EQUAÇÃO (ABRAMS)</t>
        </is>
      </c>
    </row>
    <row r="38">
      <c r="A38" s="5" t="inlineStr">
        <is>
          <t>k1:</t>
        </is>
      </c>
      <c r="B38" s="11" t="n">
        <v>0.3717</v>
      </c>
      <c r="C38" s="5" t="inlineStr">
        <is>
          <t>k2:</t>
        </is>
      </c>
      <c r="D38" s="11" t="n">
        <v>0.3199</v>
      </c>
      <c r="E38" s="5" t="inlineStr">
        <is>
          <t>m:</t>
        </is>
      </c>
      <c r="F38" s="11" t="n">
        <v>4.1667</v>
      </c>
      <c r="G38" s="5" t="inlineStr">
        <is>
          <t>A%:</t>
        </is>
      </c>
      <c r="H38" s="11" t="n">
        <v>9.8017</v>
      </c>
    </row>
    <row r="40">
      <c r="A40" s="17" t="inlineStr">
        <is>
          <t>© 2024 Mestres do Concreto - Todos os direitos reservados | Desenvolvido por Julio Vechim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54"/>
  <mergeCells count="10">
    <mergeCell ref="A1:J3"/>
    <mergeCell ref="F11:J11"/>
    <mergeCell ref="A24:E24"/>
    <mergeCell ref="F24:J24"/>
    <mergeCell ref="A40:J40"/>
    <mergeCell ref="A11:E11"/>
    <mergeCell ref="B9:D9"/>
    <mergeCell ref="A4:J4"/>
    <mergeCell ref="A7:J7"/>
    <mergeCell ref="A37:E37"/>
  </mergeCells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E5" r:id="rId3"/>
    <hyperlink xmlns:r="http://schemas.openxmlformats.org/officeDocument/2006/relationships" ref="G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2025-12-15T21:29:43Z</dcterms:created>
  <dcterms:modified xmlns:dcterms="http://purl.org/dc/terms/" xmlns:xsi="http://www.w3.org/2001/XMLSchema-instance" xsi:type="dcterms:W3CDTF">2025-12-15T21:29:43Z</dcterms:modified>
</cp:coreProperties>
</file>